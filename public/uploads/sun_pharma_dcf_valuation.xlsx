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CFF Valuation" sheetId="1" state="visible" r:id="rId3"/>
    <sheet name="ROIC" sheetId="2" state="visible" r:id="rId4"/>
    <sheet name="WAC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4" authorId="0">
      <text>
        <r>
          <rPr>
            <sz val="10"/>
            <rFont val="Arial"/>
            <family val="2"/>
          </rPr>
          <t xml:space="preserve">Analyst assumption: reinvestment rate glide path from the base year toward the long-run reinvestment rate implied by the terminal growth rate. Hardcoded input, as in the source model.</t>
        </r>
      </text>
    </comment>
    <comment ref="A32" authorId="0">
      <text>
        <r>
          <rPr>
            <sz val="10"/>
            <rFont val="Arial"/>
            <family val="2"/>
          </rPr>
          <t xml:space="preserve">Discounted using each forecast year's mid-year discount factor. The Mar-26 base year is historical/actual and is excluded from the forward PV sum. (Note: the source PDF's total appears to sum all six years of FCFF undiscounted, which double-counts the base year and does not apply the discount-factor column; this model discounts correctly, so totals differ slightly from the source PDF.)</t>
        </r>
      </text>
    </comment>
  </commentList>
</comments>
</file>

<file path=xl/sharedStrings.xml><?xml version="1.0" encoding="utf-8"?>
<sst xmlns="http://schemas.openxmlformats.org/spreadsheetml/2006/main" count="167" uniqueCount="121">
  <si>
    <t xml:space="preserve">Sun Pharmaceutical Industries Ltd</t>
  </si>
  <si>
    <t xml:space="preserve">( SUNPHARMA | BSE Code: 524715 )</t>
  </si>
  <si>
    <t xml:space="preserve">Current Price (INR)</t>
  </si>
  <si>
    <t xml:space="preserve">52 Week High / Low (INR)</t>
  </si>
  <si>
    <t xml:space="preserve">All figures are in INR (Cr) unless stated otherwise.</t>
  </si>
  <si>
    <t xml:space="preserve">Calculation of FCFF</t>
  </si>
  <si>
    <t xml:space="preserve">Past</t>
  </si>
  <si>
    <t xml:space="preserve">Forecasting</t>
  </si>
  <si>
    <t xml:space="preserve">Mar-26</t>
  </si>
  <si>
    <t xml:space="preserve">Mar-27</t>
  </si>
  <si>
    <t xml:space="preserve">Mar-28</t>
  </si>
  <si>
    <t xml:space="preserve">Mar-29</t>
  </si>
  <si>
    <t xml:space="preserve">Mar-30</t>
  </si>
  <si>
    <t xml:space="preserve">Mar-31</t>
  </si>
  <si>
    <t xml:space="preserve">EBIT</t>
  </si>
  <si>
    <t xml:space="preserve">Tax Rate</t>
  </si>
  <si>
    <t xml:space="preserve">EBIT*(1-T)</t>
  </si>
  <si>
    <t xml:space="preserve">Less: Reinvestment Rate</t>
  </si>
  <si>
    <t xml:space="preserve">Free Cash Flow to Firm (FCFF)</t>
  </si>
  <si>
    <t xml:space="preserve">Mid Year Convention</t>
  </si>
  <si>
    <t xml:space="preserve">Discount Factor</t>
  </si>
  <si>
    <t xml:space="preserve">Expected Growth Rate</t>
  </si>
  <si>
    <t xml:space="preserve">Terminal Growth Rate</t>
  </si>
  <si>
    <t xml:space="preserve">Weighted Average Cost of Capital</t>
  </si>
  <si>
    <t xml:space="preserve">Calculation of Terminal Value</t>
  </si>
  <si>
    <t xml:space="preserve">FCFF x (1 + Expected Growth)</t>
  </si>
  <si>
    <t xml:space="preserve">Terminal (Growth) Rate</t>
  </si>
  <si>
    <t xml:space="preserve">WACC</t>
  </si>
  <si>
    <t xml:space="preserve">Terminal Value</t>
  </si>
  <si>
    <t xml:space="preserve">Calculation of Equity Value Per Share</t>
  </si>
  <si>
    <t xml:space="preserve">PV of FCFF (Mar-27 to Mar-31)</t>
  </si>
  <si>
    <t xml:space="preserve">PV of Terminal Value</t>
  </si>
  <si>
    <t xml:space="preserve">Value of Operating Assets</t>
  </si>
  <si>
    <t xml:space="preserve">Add: Cash</t>
  </si>
  <si>
    <t xml:space="preserve">Less: Debt</t>
  </si>
  <si>
    <t xml:space="preserve">Value of Equity</t>
  </si>
  <si>
    <t xml:space="preserve">No. of Outstanding Shares (Cr)</t>
  </si>
  <si>
    <t xml:space="preserve">Equity Value Per Share</t>
  </si>
  <si>
    <t xml:space="preserve">Current Price of Share</t>
  </si>
  <si>
    <t xml:space="preserve">Premium / (Discount) — Price / Intrinsic Value</t>
  </si>
  <si>
    <t xml:space="preserve">Calculation of ROIC</t>
  </si>
  <si>
    <t xml:space="preserve">Mar-21</t>
  </si>
  <si>
    <t xml:space="preserve">Mar-22</t>
  </si>
  <si>
    <t xml:space="preserve">Mar-23</t>
  </si>
  <si>
    <t xml:space="preserve">Mar-24</t>
  </si>
  <si>
    <t xml:space="preserve">Mar-25</t>
  </si>
  <si>
    <t xml:space="preserve">Current Assets</t>
  </si>
  <si>
    <t xml:space="preserve">Inventories</t>
  </si>
  <si>
    <t xml:space="preserve">Trade Receivables</t>
  </si>
  <si>
    <t xml:space="preserve">Loans n Advances</t>
  </si>
  <si>
    <t xml:space="preserve">Other Asset Items</t>
  </si>
  <si>
    <t xml:space="preserve">Total Current Assets</t>
  </si>
  <si>
    <t xml:space="preserve">Current Liabilities</t>
  </si>
  <si>
    <t xml:space="preserve">Trade Payables</t>
  </si>
  <si>
    <t xml:space="preserve">Advance from Customers</t>
  </si>
  <si>
    <t xml:space="preserve">Other Liability Items</t>
  </si>
  <si>
    <t xml:space="preserve">Total Current Liabilities</t>
  </si>
  <si>
    <t xml:space="preserve">Net Working Capital</t>
  </si>
  <si>
    <t xml:space="preserve">Non-Current Assets</t>
  </si>
  <si>
    <t xml:space="preserve">Land</t>
  </si>
  <si>
    <t xml:space="preserve">Building</t>
  </si>
  <si>
    <t xml:space="preserve">Plant &amp; Machinery</t>
  </si>
  <si>
    <t xml:space="preserve">Equipments</t>
  </si>
  <si>
    <t xml:space="preserve">Furniture n Fittings</t>
  </si>
  <si>
    <t xml:space="preserve">Vehicles</t>
  </si>
  <si>
    <t xml:space="preserve">Intangible Assets</t>
  </si>
  <si>
    <t xml:space="preserve">Other Fixed Assets</t>
  </si>
  <si>
    <t xml:space="preserve">Gross Block</t>
  </si>
  <si>
    <t xml:space="preserve">Accumulated Depreciation</t>
  </si>
  <si>
    <t xml:space="preserve">Total Non-Current Assets</t>
  </si>
  <si>
    <t xml:space="preserve">Invested Capital</t>
  </si>
  <si>
    <t xml:space="preserve">ROIC</t>
  </si>
  <si>
    <t xml:space="preserve">Calculation of Reinvestment Rate</t>
  </si>
  <si>
    <t xml:space="preserve">Net Capex</t>
  </si>
  <si>
    <t xml:space="preserve">Change in Working Capital</t>
  </si>
  <si>
    <t xml:space="preserve">Reinvestment Value</t>
  </si>
  <si>
    <t xml:space="preserve">Reinvestment Rate</t>
  </si>
  <si>
    <t xml:space="preserve">Average (Mar-22 to Mar-26)</t>
  </si>
  <si>
    <t xml:space="preserve">Median (Mar-22 to Mar-26)</t>
  </si>
  <si>
    <t xml:space="preserve">Calculation of Intrinsic (Reinvestment-Implied) Growth Rate</t>
  </si>
  <si>
    <t xml:space="preserve">Intrinsic Growth Rate (ROIC x Reinvestment Rate)</t>
  </si>
  <si>
    <t xml:space="preserve">Peer Company</t>
  </si>
  <si>
    <t xml:space="preserve">Country</t>
  </si>
  <si>
    <t xml:space="preserve">Total Debt</t>
  </si>
  <si>
    <t xml:space="preserve">Total Equity</t>
  </si>
  <si>
    <t xml:space="preserve">Debt/Equity</t>
  </si>
  <si>
    <t xml:space="preserve">Debt/Capital</t>
  </si>
  <si>
    <t xml:space="preserve">Levered Beta</t>
  </si>
  <si>
    <t xml:space="preserve">Unlevered Beta</t>
  </si>
  <si>
    <t xml:space="preserve">Sun Pharma</t>
  </si>
  <si>
    <t xml:space="preserve">India</t>
  </si>
  <si>
    <t xml:space="preserve">Torrent Pharma</t>
  </si>
  <si>
    <t xml:space="preserve">Apollo Hospital</t>
  </si>
  <si>
    <t xml:space="preserve">Zydus Lifesci.</t>
  </si>
  <si>
    <t xml:space="preserve">Cipla</t>
  </si>
  <si>
    <t xml:space="preserve">Average</t>
  </si>
  <si>
    <t xml:space="preserve">Median</t>
  </si>
  <si>
    <t xml:space="preserve">Cost of Debt</t>
  </si>
  <si>
    <t xml:space="preserve">Cost of Equity</t>
  </si>
  <si>
    <t xml:space="preserve">Pre Tax Rate of Debt</t>
  </si>
  <si>
    <t xml:space="preserve">Risk Free Rate</t>
  </si>
  <si>
    <t xml:space="preserve">Risk Premium Rate</t>
  </si>
  <si>
    <t xml:space="preserve">Post Tax Rate</t>
  </si>
  <si>
    <t xml:space="preserve">Capital Structure</t>
  </si>
  <si>
    <t xml:space="preserve">Current</t>
  </si>
  <si>
    <t xml:space="preserve">Target</t>
  </si>
  <si>
    <t xml:space="preserve">Comps Unlevered Beta</t>
  </si>
  <si>
    <t xml:space="preserve">Market Capitalisation (Cr)</t>
  </si>
  <si>
    <t xml:space="preserve">Target Debt/Equity</t>
  </si>
  <si>
    <t xml:space="preserve">Total Capital</t>
  </si>
  <si>
    <t xml:space="preserve">Weighted Average Cost of Capital (WACC)</t>
  </si>
  <si>
    <t xml:space="preserve">Cost / Current</t>
  </si>
  <si>
    <t xml:space="preserve">Target Weight</t>
  </si>
  <si>
    <t xml:space="preserve">Debt</t>
  </si>
  <si>
    <t xml:space="preserve">Equity</t>
  </si>
  <si>
    <t xml:space="preserve">Notes:</t>
  </si>
  <si>
    <t xml:space="preserve">1. Levered Beta is based on two-year weekly data (peer inputs).</t>
  </si>
  <si>
    <t xml:space="preserve">2. Marginal tax rate used is that of the company's home country.</t>
  </si>
  <si>
    <t xml:space="preserve">3. Unlevered Beta = Levered Beta / (1 + (1 - Tax Rate) x Debt/Equity).</t>
  </si>
  <si>
    <t xml:space="preserve">4. Re-levered Beta = Unlevered Beta x (1 + (1 - Tax Rate) x Target Debt/Equity).</t>
  </si>
  <si>
    <t xml:space="preserve">5. Target capital structure (Debt/Capital) is set equal to the peer group average.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</si>
</sst>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0.0%;\(0.0%\);\-"/>
    <numFmt numFmtId="167" formatCode="0.0"/>
    <numFmt numFmtId="168" formatCode="0.000"/>
    <numFmt numFmtId="169" formatCode="0.00\x"/>
    <numFmt numFmtId="170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8732C"/>
      <name val="Arial"/>
      <family val="0"/>
      <charset val="1"/>
    </font>
    <font>
      <sz val="10"/>
      <color rgb="FF40404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8732C"/>
        <bgColor rgb="FFFF8080"/>
      </patternFill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32C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  <c r="B3" s="3" t="n">
        <v>1858</v>
      </c>
    </row>
    <row r="4" customFormat="false" ht="15" hidden="false" customHeight="false" outlineLevel="0" collapsed="false">
      <c r="A4" s="2" t="s">
        <v>3</v>
      </c>
      <c r="B4" s="3" t="n">
        <v>2048</v>
      </c>
      <c r="C4" s="3" t="n">
        <v>1547</v>
      </c>
    </row>
    <row r="5" customFormat="false" ht="15" hidden="false" customHeight="false" outlineLevel="0" collapsed="false">
      <c r="A5" s="4" t="s">
        <v>4</v>
      </c>
    </row>
    <row r="7" customFormat="false" ht="18" hidden="false" customHeight="true" outlineLevel="0" collapsed="false">
      <c r="A7" s="5" t="s">
        <v>5</v>
      </c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B8" s="6" t="s">
        <v>6</v>
      </c>
      <c r="C8" s="7" t="s">
        <v>7</v>
      </c>
      <c r="D8" s="7"/>
      <c r="E8" s="7"/>
      <c r="F8" s="7"/>
      <c r="G8" s="7"/>
    </row>
    <row r="9" customFormat="false" ht="15" hidden="false" customHeight="false" outlineLevel="0" collapsed="false">
      <c r="B9" s="8" t="s">
        <v>8</v>
      </c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</row>
    <row r="11" customFormat="false" ht="15" hidden="false" customHeight="false" outlineLevel="0" collapsed="false">
      <c r="A11" s="9" t="s">
        <v>14</v>
      </c>
      <c r="B11" s="10" t="n">
        <f aca="false">ROIC!G40</f>
        <v>15457.79</v>
      </c>
      <c r="C11" s="11" t="n">
        <f aca="false">B11*(1+$B$19)</f>
        <v>16076.1016</v>
      </c>
      <c r="D11" s="11" t="n">
        <f aca="false">C11*(1+$B$19)</f>
        <v>16719.145664</v>
      </c>
      <c r="E11" s="11" t="n">
        <f aca="false">D11*(1+$B$19)</f>
        <v>17387.91149056</v>
      </c>
      <c r="F11" s="11" t="n">
        <f aca="false">E11*(1+$B$19)</f>
        <v>18083.4279501824</v>
      </c>
      <c r="G11" s="11" t="n">
        <f aca="false">F11*(1+$B$19)</f>
        <v>18806.7650681897</v>
      </c>
    </row>
    <row r="12" customFormat="false" ht="15" hidden="false" customHeight="false" outlineLevel="0" collapsed="false">
      <c r="A12" s="9" t="s">
        <v>15</v>
      </c>
      <c r="B12" s="12" t="n">
        <f aca="false">WACC!$E$10</f>
        <v>0.2517</v>
      </c>
      <c r="C12" s="12" t="n">
        <f aca="false">WACC!$E$10</f>
        <v>0.2517</v>
      </c>
      <c r="D12" s="12" t="n">
        <f aca="false">WACC!$E$10</f>
        <v>0.2517</v>
      </c>
      <c r="E12" s="12" t="n">
        <f aca="false">WACC!$E$10</f>
        <v>0.2517</v>
      </c>
      <c r="F12" s="12" t="n">
        <f aca="false">WACC!$E$10</f>
        <v>0.2517</v>
      </c>
      <c r="G12" s="12" t="n">
        <f aca="false">WACC!$E$10</f>
        <v>0.2517</v>
      </c>
    </row>
    <row r="13" customFormat="false" ht="15" hidden="false" customHeight="false" outlineLevel="0" collapsed="false">
      <c r="A13" s="9" t="s">
        <v>16</v>
      </c>
      <c r="B13" s="11" t="n">
        <f aca="false">B11*(1-B12)</f>
        <v>11567.064257</v>
      </c>
      <c r="C13" s="11" t="n">
        <f aca="false">C11*(1-C12)</f>
        <v>12029.74682728</v>
      </c>
      <c r="D13" s="11" t="n">
        <f aca="false">D11*(1-D12)</f>
        <v>12510.9367003712</v>
      </c>
      <c r="E13" s="11" t="n">
        <f aca="false">E11*(1-E12)</f>
        <v>13011.3741683861</v>
      </c>
      <c r="F13" s="11" t="n">
        <f aca="false">F11*(1-F12)</f>
        <v>13531.8291351215</v>
      </c>
      <c r="G13" s="11" t="n">
        <f aca="false">G11*(1-G12)</f>
        <v>14073.1023005264</v>
      </c>
    </row>
    <row r="14" customFormat="false" ht="15" hidden="false" customHeight="false" outlineLevel="0" collapsed="false">
      <c r="A14" s="9" t="s">
        <v>17</v>
      </c>
      <c r="B14" s="13" t="n">
        <v>0.219</v>
      </c>
      <c r="C14" s="13" t="n">
        <v>0.225</v>
      </c>
      <c r="D14" s="13" t="n">
        <v>0.229</v>
      </c>
      <c r="E14" s="13" t="n">
        <v>0.232</v>
      </c>
      <c r="F14" s="13" t="n">
        <v>0.235</v>
      </c>
      <c r="G14" s="13" t="n">
        <v>0.242</v>
      </c>
    </row>
    <row r="15" customFormat="false" ht="15" hidden="false" customHeight="false" outlineLevel="0" collapsed="false">
      <c r="A15" s="14" t="s">
        <v>18</v>
      </c>
      <c r="B15" s="15" t="n">
        <f aca="false">B13*(1-B14)</f>
        <v>9033.877184717</v>
      </c>
      <c r="C15" s="15" t="n">
        <f aca="false">C13*(1-C14)</f>
        <v>9323.053791142</v>
      </c>
      <c r="D15" s="15" t="n">
        <f aca="false">D13*(1-D14)</f>
        <v>9645.9321959862</v>
      </c>
      <c r="E15" s="15" t="n">
        <f aca="false">E13*(1-E14)</f>
        <v>9992.73536132049</v>
      </c>
      <c r="F15" s="15" t="n">
        <f aca="false">F13*(1-F14)</f>
        <v>10351.8492883679</v>
      </c>
      <c r="G15" s="15" t="n">
        <f aca="false">G13*(1-G14)</f>
        <v>10667.411543799</v>
      </c>
    </row>
    <row r="16" customFormat="false" ht="15" hidden="false" customHeight="false" outlineLevel="0" collapsed="false">
      <c r="A16" s="9" t="s">
        <v>19</v>
      </c>
      <c r="C16" s="16" t="n">
        <v>0.5</v>
      </c>
      <c r="D16" s="17" t="n">
        <f aca="false">C16+1</f>
        <v>1.5</v>
      </c>
      <c r="E16" s="17" t="n">
        <f aca="false">D16+1</f>
        <v>2.5</v>
      </c>
      <c r="F16" s="17" t="n">
        <f aca="false">E16+1</f>
        <v>3.5</v>
      </c>
      <c r="G16" s="17" t="n">
        <f aca="false">F16+1</f>
        <v>4.5</v>
      </c>
    </row>
    <row r="17" customFormat="false" ht="15" hidden="false" customHeight="false" outlineLevel="0" collapsed="false">
      <c r="A17" s="9" t="s">
        <v>20</v>
      </c>
      <c r="C17" s="18" t="n">
        <f aca="false">1/(1+$B$20)^C16</f>
        <v>0.973584767022471</v>
      </c>
      <c r="D17" s="18" t="n">
        <f aca="false">1/(1+$B$20)^D16</f>
        <v>0.922829163054475</v>
      </c>
      <c r="E17" s="18" t="n">
        <f aca="false">1/(1+$B$20)^E16</f>
        <v>0.874719585833626</v>
      </c>
      <c r="F17" s="18" t="n">
        <f aca="false">1/(1+$B$20)^F16</f>
        <v>0.82911809083756</v>
      </c>
      <c r="G17" s="18" t="n">
        <f aca="false">1/(1+$B$20)^G16</f>
        <v>0.785893924964512</v>
      </c>
    </row>
    <row r="19" customFormat="false" ht="15" hidden="false" customHeight="false" outlineLevel="0" collapsed="false">
      <c r="A19" s="14" t="s">
        <v>21</v>
      </c>
      <c r="B19" s="13" t="n">
        <v>0.04</v>
      </c>
    </row>
    <row r="20" customFormat="false" ht="15" hidden="false" customHeight="false" outlineLevel="0" collapsed="false">
      <c r="A20" s="14" t="s">
        <v>22</v>
      </c>
      <c r="B20" s="13" t="n">
        <v>0.055</v>
      </c>
    </row>
    <row r="21" customFormat="false" ht="15" hidden="false" customHeight="false" outlineLevel="0" collapsed="false">
      <c r="A21" s="14" t="s">
        <v>23</v>
      </c>
      <c r="B21" s="12" t="n">
        <f aca="false">WACC!D36</f>
        <v>0.103141462111452</v>
      </c>
    </row>
    <row r="23" customFormat="false" ht="18" hidden="false" customHeight="true" outlineLevel="0" collapsed="false">
      <c r="A23" s="5" t="s">
        <v>24</v>
      </c>
      <c r="B23" s="5"/>
      <c r="C23" s="5"/>
      <c r="D23" s="5"/>
      <c r="E23" s="5"/>
      <c r="F23" s="5"/>
      <c r="G23" s="5"/>
    </row>
    <row r="25" customFormat="false" ht="15" hidden="false" customHeight="false" outlineLevel="0" collapsed="false">
      <c r="A25" s="9" t="s">
        <v>25</v>
      </c>
      <c r="B25" s="11" t="n">
        <f aca="false">G15*(1+$B$19)</f>
        <v>11094.1080055509</v>
      </c>
    </row>
    <row r="26" customFormat="false" ht="15" hidden="false" customHeight="false" outlineLevel="0" collapsed="false">
      <c r="A26" s="9" t="s">
        <v>26</v>
      </c>
      <c r="B26" s="19" t="n">
        <f aca="false">$B$20</f>
        <v>0.055</v>
      </c>
    </row>
    <row r="27" customFormat="false" ht="15" hidden="false" customHeight="false" outlineLevel="0" collapsed="false">
      <c r="A27" s="9" t="s">
        <v>27</v>
      </c>
      <c r="B27" s="19" t="n">
        <f aca="false">$B$21</f>
        <v>0.103141462111452</v>
      </c>
    </row>
    <row r="28" customFormat="false" ht="15" hidden="false" customHeight="false" outlineLevel="0" collapsed="false">
      <c r="A28" s="14" t="s">
        <v>28</v>
      </c>
      <c r="B28" s="15" t="n">
        <f aca="false">B25/(B27-B26)</f>
        <v>230448.090252577</v>
      </c>
    </row>
    <row r="30" customFormat="false" ht="18" hidden="false" customHeight="true" outlineLevel="0" collapsed="false">
      <c r="A30" s="5" t="s">
        <v>29</v>
      </c>
      <c r="B30" s="5"/>
      <c r="C30" s="5"/>
      <c r="D30" s="5"/>
      <c r="E30" s="5"/>
      <c r="F30" s="5"/>
      <c r="G30" s="5"/>
    </row>
    <row r="32" customFormat="false" ht="15" hidden="false" customHeight="false" outlineLevel="0" collapsed="false">
      <c r="A32" s="9" t="s">
        <v>30</v>
      </c>
      <c r="B32" s="11" t="n">
        <f aca="false">SUMPRODUCT(C15:G15,C17:G17)</f>
        <v>43685.5314710661</v>
      </c>
    </row>
    <row r="33" customFormat="false" ht="15" hidden="false" customHeight="false" outlineLevel="0" collapsed="false">
      <c r="A33" s="9" t="s">
        <v>31</v>
      </c>
      <c r="B33" s="11" t="n">
        <f aca="false">B28*G17</f>
        <v>181107.754149173</v>
      </c>
    </row>
    <row r="34" customFormat="false" ht="15" hidden="false" customHeight="false" outlineLevel="0" collapsed="false">
      <c r="A34" s="14" t="s">
        <v>32</v>
      </c>
      <c r="B34" s="15" t="n">
        <f aca="false">B32+B33</f>
        <v>224793.28562024</v>
      </c>
    </row>
    <row r="35" customFormat="false" ht="15" hidden="false" customHeight="false" outlineLevel="0" collapsed="false">
      <c r="A35" s="9" t="s">
        <v>33</v>
      </c>
      <c r="B35" s="3" t="n">
        <v>11603.08</v>
      </c>
    </row>
    <row r="36" customFormat="false" ht="15" hidden="false" customHeight="false" outlineLevel="0" collapsed="false">
      <c r="A36" s="9" t="s">
        <v>34</v>
      </c>
      <c r="B36" s="10" t="n">
        <f aca="false">WACC!C10</f>
        <v>4627.32</v>
      </c>
    </row>
    <row r="37" customFormat="false" ht="15" hidden="false" customHeight="false" outlineLevel="0" collapsed="false">
      <c r="A37" s="14" t="s">
        <v>35</v>
      </c>
      <c r="B37" s="15" t="n">
        <f aca="false">B34+B35-B36</f>
        <v>231769.045620239</v>
      </c>
    </row>
    <row r="38" customFormat="false" ht="15" hidden="false" customHeight="false" outlineLevel="0" collapsed="false">
      <c r="A38" s="9" t="s">
        <v>36</v>
      </c>
      <c r="B38" s="3" t="n">
        <v>239.93</v>
      </c>
    </row>
    <row r="39" customFormat="false" ht="15" hidden="false" customHeight="false" outlineLevel="0" collapsed="false">
      <c r="A39" s="14" t="s">
        <v>37</v>
      </c>
      <c r="B39" s="15" t="n">
        <f aca="false">B37/B38</f>
        <v>965.986102697618</v>
      </c>
    </row>
    <row r="41" customFormat="false" ht="15" hidden="false" customHeight="false" outlineLevel="0" collapsed="false">
      <c r="A41" s="9" t="s">
        <v>38</v>
      </c>
      <c r="B41" s="3" t="n">
        <v>1853.5</v>
      </c>
    </row>
    <row r="42" customFormat="false" ht="15" hidden="false" customHeight="false" outlineLevel="0" collapsed="false">
      <c r="A42" s="14" t="s">
        <v>39</v>
      </c>
      <c r="B42" s="20" t="n">
        <f aca="false">B41/B39</f>
        <v>1.91876466423679</v>
      </c>
    </row>
  </sheetData>
  <mergeCells count="4">
    <mergeCell ref="A7:G7"/>
    <mergeCell ref="C8:G8"/>
    <mergeCell ref="A23:G23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  <c r="B3" s="3" t="n">
        <v>1858</v>
      </c>
    </row>
    <row r="4" customFormat="false" ht="15" hidden="false" customHeight="false" outlineLevel="0" collapsed="false">
      <c r="A4" s="2" t="s">
        <v>3</v>
      </c>
      <c r="B4" s="3" t="n">
        <v>2048</v>
      </c>
      <c r="C4" s="3" t="n">
        <v>1547</v>
      </c>
    </row>
    <row r="5" customFormat="false" ht="15" hidden="false" customHeight="false" outlineLevel="0" collapsed="false">
      <c r="A5" s="4" t="s">
        <v>4</v>
      </c>
    </row>
    <row r="7" customFormat="false" ht="18" hidden="false" customHeight="true" outlineLevel="0" collapsed="false">
      <c r="A7" s="5" t="s">
        <v>40</v>
      </c>
      <c r="B7" s="5"/>
      <c r="C7" s="5"/>
      <c r="D7" s="5"/>
      <c r="E7" s="5"/>
      <c r="F7" s="5"/>
      <c r="G7" s="5"/>
    </row>
    <row r="8" customFormat="false" ht="15" hidden="false" customHeight="false" outlineLevel="0" collapsed="false">
      <c r="B8" s="8" t="s">
        <v>41</v>
      </c>
      <c r="C8" s="8" t="s">
        <v>42</v>
      </c>
      <c r="D8" s="8" t="s">
        <v>43</v>
      </c>
      <c r="E8" s="8" t="s">
        <v>44</v>
      </c>
      <c r="F8" s="8" t="s">
        <v>45</v>
      </c>
      <c r="G8" s="8" t="s">
        <v>8</v>
      </c>
    </row>
    <row r="10" customFormat="false" ht="15" hidden="false" customHeight="false" outlineLevel="0" collapsed="false">
      <c r="A10" s="14" t="s">
        <v>46</v>
      </c>
    </row>
    <row r="11" customFormat="false" ht="15" hidden="false" customHeight="false" outlineLevel="0" collapsed="false">
      <c r="A11" s="9" t="s">
        <v>47</v>
      </c>
      <c r="B11" s="3" t="n">
        <v>8997</v>
      </c>
      <c r="C11" s="3" t="n">
        <v>8925</v>
      </c>
      <c r="D11" s="3" t="n">
        <v>10513</v>
      </c>
      <c r="E11" s="3" t="n">
        <v>9868</v>
      </c>
      <c r="F11" s="3" t="n">
        <v>10243</v>
      </c>
      <c r="G11" s="3" t="n">
        <v>11493</v>
      </c>
    </row>
    <row r="12" customFormat="false" ht="15" hidden="false" customHeight="false" outlineLevel="0" collapsed="false">
      <c r="A12" s="9" t="s">
        <v>48</v>
      </c>
      <c r="B12" s="3" t="n">
        <v>9061</v>
      </c>
      <c r="C12" s="3" t="n">
        <v>10485</v>
      </c>
      <c r="D12" s="3" t="n">
        <v>11439</v>
      </c>
      <c r="E12" s="3" t="n">
        <v>11249</v>
      </c>
      <c r="F12" s="3" t="n">
        <v>13046</v>
      </c>
      <c r="G12" s="3" t="n">
        <v>15510</v>
      </c>
    </row>
    <row r="13" customFormat="false" ht="15" hidden="false" customHeight="false" outlineLevel="0" collapsed="false">
      <c r="A13" s="9" t="s">
        <v>49</v>
      </c>
      <c r="B13" s="3" t="n">
        <v>649</v>
      </c>
      <c r="C13" s="3" t="n">
        <v>720</v>
      </c>
      <c r="D13" s="3" t="n">
        <v>818</v>
      </c>
      <c r="E13" s="3" t="n">
        <v>855</v>
      </c>
      <c r="F13" s="3" t="n">
        <v>785</v>
      </c>
      <c r="G13" s="3" t="n">
        <v>923</v>
      </c>
    </row>
    <row r="14" customFormat="false" ht="15" hidden="false" customHeight="false" outlineLevel="0" collapsed="false">
      <c r="A14" s="9" t="s">
        <v>50</v>
      </c>
      <c r="B14" s="3" t="n">
        <v>9737</v>
      </c>
      <c r="C14" s="3" t="n">
        <v>7812</v>
      </c>
      <c r="D14" s="3" t="n">
        <v>8309</v>
      </c>
      <c r="E14" s="3" t="n">
        <v>9206</v>
      </c>
      <c r="F14" s="3" t="n">
        <v>8918</v>
      </c>
      <c r="G14" s="3" t="n">
        <v>8282</v>
      </c>
    </row>
    <row r="15" customFormat="false" ht="15" hidden="false" customHeight="false" outlineLevel="0" collapsed="false">
      <c r="A15" s="14" t="s">
        <v>51</v>
      </c>
      <c r="B15" s="15" t="n">
        <f aca="false">SUM(B11:B14)</f>
        <v>28444</v>
      </c>
      <c r="C15" s="15" t="n">
        <f aca="false">SUM(C11:C14)</f>
        <v>27942</v>
      </c>
      <c r="D15" s="15" t="n">
        <f aca="false">SUM(D11:D14)</f>
        <v>31079</v>
      </c>
      <c r="E15" s="15" t="n">
        <f aca="false">SUM(E11:E14)</f>
        <v>31178</v>
      </c>
      <c r="F15" s="15" t="n">
        <f aca="false">SUM(F11:F14)</f>
        <v>32992</v>
      </c>
      <c r="G15" s="15" t="n">
        <f aca="false">SUM(G11:G14)</f>
        <v>36208</v>
      </c>
    </row>
    <row r="17" customFormat="false" ht="15" hidden="false" customHeight="false" outlineLevel="0" collapsed="false">
      <c r="A17" s="14" t="s">
        <v>52</v>
      </c>
    </row>
    <row r="18" customFormat="false" ht="15" hidden="false" customHeight="false" outlineLevel="0" collapsed="false">
      <c r="A18" s="9" t="s">
        <v>53</v>
      </c>
      <c r="B18" s="3" t="n">
        <v>3974</v>
      </c>
      <c r="C18" s="3" t="n">
        <v>4490</v>
      </c>
      <c r="D18" s="3" t="n">
        <v>5682</v>
      </c>
      <c r="E18" s="3" t="n">
        <v>5653</v>
      </c>
      <c r="F18" s="3" t="n">
        <v>6184</v>
      </c>
      <c r="G18" s="3" t="n">
        <v>7334</v>
      </c>
    </row>
    <row r="19" customFormat="false" ht="15" hidden="false" customHeight="false" outlineLevel="0" collapsed="false">
      <c r="A19" s="9" t="s">
        <v>54</v>
      </c>
      <c r="B19" s="3" t="n">
        <v>47</v>
      </c>
      <c r="C19" s="3" t="n">
        <v>29</v>
      </c>
      <c r="D19" s="3" t="n">
        <v>41</v>
      </c>
      <c r="E19" s="3" t="n">
        <v>43</v>
      </c>
      <c r="F19" s="3" t="n">
        <v>25</v>
      </c>
      <c r="G19" s="3" t="n">
        <v>137</v>
      </c>
    </row>
    <row r="20" customFormat="false" ht="15" hidden="false" customHeight="false" outlineLevel="0" collapsed="false">
      <c r="A20" s="9" t="s">
        <v>55</v>
      </c>
      <c r="B20" s="3" t="n">
        <v>10253</v>
      </c>
      <c r="C20" s="3" t="n">
        <v>12901</v>
      </c>
      <c r="D20" s="3" t="n">
        <v>8788</v>
      </c>
      <c r="E20" s="3" t="n">
        <v>9232</v>
      </c>
      <c r="F20" s="3" t="n">
        <v>10851</v>
      </c>
      <c r="G20" s="3" t="n">
        <v>12429</v>
      </c>
    </row>
    <row r="21" customFormat="false" ht="15" hidden="false" customHeight="false" outlineLevel="0" collapsed="false">
      <c r="A21" s="14" t="s">
        <v>56</v>
      </c>
      <c r="B21" s="15" t="n">
        <f aca="false">SUM(B18:B20)</f>
        <v>14274</v>
      </c>
      <c r="C21" s="15" t="n">
        <f aca="false">SUM(C18:C20)</f>
        <v>17420</v>
      </c>
      <c r="D21" s="15" t="n">
        <f aca="false">SUM(D18:D20)</f>
        <v>14511</v>
      </c>
      <c r="E21" s="15" t="n">
        <f aca="false">SUM(E18:E20)</f>
        <v>14928</v>
      </c>
      <c r="F21" s="15" t="n">
        <f aca="false">SUM(F18:F20)</f>
        <v>17060</v>
      </c>
      <c r="G21" s="15" t="n">
        <f aca="false">SUM(G18:G20)</f>
        <v>19900</v>
      </c>
    </row>
    <row r="23" customFormat="false" ht="15" hidden="false" customHeight="false" outlineLevel="0" collapsed="false">
      <c r="A23" s="14" t="s">
        <v>57</v>
      </c>
      <c r="B23" s="15" t="n">
        <f aca="false">B15-B21</f>
        <v>14170</v>
      </c>
      <c r="C23" s="15" t="n">
        <f aca="false">C15-C21</f>
        <v>10522</v>
      </c>
      <c r="D23" s="15" t="n">
        <f aca="false">D15-D21</f>
        <v>16568</v>
      </c>
      <c r="E23" s="15" t="n">
        <f aca="false">E15-E21</f>
        <v>16250</v>
      </c>
      <c r="F23" s="15" t="n">
        <f aca="false">F15-F21</f>
        <v>15932</v>
      </c>
      <c r="G23" s="15" t="n">
        <f aca="false">G15-G21</f>
        <v>16308</v>
      </c>
    </row>
    <row r="25" customFormat="false" ht="15" hidden="false" customHeight="false" outlineLevel="0" collapsed="false">
      <c r="A25" s="14" t="s">
        <v>58</v>
      </c>
    </row>
    <row r="26" customFormat="false" ht="15" hidden="false" customHeight="false" outlineLevel="0" collapsed="false">
      <c r="A26" s="9" t="s">
        <v>59</v>
      </c>
      <c r="B26" s="3" t="n">
        <v>642</v>
      </c>
      <c r="C26" s="3" t="n">
        <v>862</v>
      </c>
      <c r="D26" s="3" t="n">
        <v>898</v>
      </c>
      <c r="E26" s="3" t="n">
        <v>1047</v>
      </c>
      <c r="F26" s="3" t="n">
        <v>1017</v>
      </c>
      <c r="G26" s="3" t="n">
        <v>1190</v>
      </c>
    </row>
    <row r="27" customFormat="false" ht="15" hidden="false" customHeight="false" outlineLevel="0" collapsed="false">
      <c r="A27" s="9" t="s">
        <v>60</v>
      </c>
      <c r="B27" s="3" t="n">
        <v>5937</v>
      </c>
      <c r="C27" s="3" t="n">
        <v>6048</v>
      </c>
      <c r="D27" s="3" t="n">
        <v>6820</v>
      </c>
      <c r="E27" s="3" t="n">
        <v>6803</v>
      </c>
      <c r="F27" s="3" t="n">
        <v>7052</v>
      </c>
      <c r="G27" s="3" t="n">
        <v>8074</v>
      </c>
    </row>
    <row r="28" customFormat="false" ht="15" hidden="false" customHeight="false" outlineLevel="0" collapsed="false">
      <c r="A28" s="9" t="s">
        <v>61</v>
      </c>
      <c r="B28" s="3" t="n">
        <v>11629</v>
      </c>
      <c r="C28" s="3" t="n">
        <v>12363</v>
      </c>
      <c r="D28" s="3" t="n">
        <v>13077</v>
      </c>
      <c r="E28" s="3" t="n">
        <v>13706</v>
      </c>
      <c r="F28" s="3" t="n">
        <v>14215</v>
      </c>
      <c r="G28" s="3" t="n">
        <v>15882</v>
      </c>
    </row>
    <row r="29" customFormat="false" ht="15" hidden="false" customHeight="false" outlineLevel="0" collapsed="false">
      <c r="A29" s="9" t="s">
        <v>62</v>
      </c>
      <c r="B29" s="3" t="n">
        <v>273</v>
      </c>
      <c r="C29" s="3" t="n">
        <v>305</v>
      </c>
      <c r="D29" s="3" t="n">
        <v>327</v>
      </c>
      <c r="E29" s="3" t="n">
        <v>345</v>
      </c>
      <c r="F29" s="3" t="n">
        <v>368</v>
      </c>
      <c r="G29" s="3" t="n">
        <v>418</v>
      </c>
    </row>
    <row r="30" customFormat="false" ht="15" hidden="false" customHeight="false" outlineLevel="0" collapsed="false">
      <c r="A30" s="9" t="s">
        <v>63</v>
      </c>
      <c r="B30" s="3" t="n">
        <v>421</v>
      </c>
      <c r="C30" s="3" t="n">
        <v>423</v>
      </c>
      <c r="D30" s="3" t="n">
        <v>444</v>
      </c>
      <c r="E30" s="3" t="n">
        <v>454</v>
      </c>
      <c r="F30" s="3" t="n">
        <v>481</v>
      </c>
      <c r="G30" s="3" t="n">
        <v>484</v>
      </c>
    </row>
    <row r="31" customFormat="false" ht="15" hidden="false" customHeight="false" outlineLevel="0" collapsed="false">
      <c r="A31" s="9" t="s">
        <v>64</v>
      </c>
      <c r="B31" s="3" t="n">
        <v>371</v>
      </c>
      <c r="C31" s="3" t="n">
        <v>408</v>
      </c>
      <c r="D31" s="3" t="n">
        <v>447</v>
      </c>
      <c r="E31" s="3" t="n">
        <v>414</v>
      </c>
      <c r="F31" s="3" t="n">
        <v>478</v>
      </c>
      <c r="G31" s="3" t="n">
        <v>581</v>
      </c>
    </row>
    <row r="32" customFormat="false" ht="15" hidden="false" customHeight="false" outlineLevel="0" collapsed="false">
      <c r="A32" s="9" t="s">
        <v>65</v>
      </c>
      <c r="B32" s="3" t="n">
        <v>15934</v>
      </c>
      <c r="C32" s="3" t="n">
        <v>6591</v>
      </c>
      <c r="D32" s="3" t="n">
        <v>8358</v>
      </c>
      <c r="E32" s="3" t="n">
        <v>8569</v>
      </c>
      <c r="F32" s="3" t="n">
        <v>8939</v>
      </c>
      <c r="G32" s="3" t="n">
        <v>9833</v>
      </c>
    </row>
    <row r="33" customFormat="false" ht="15" hidden="false" customHeight="false" outlineLevel="0" collapsed="false">
      <c r="A33" s="9" t="s">
        <v>66</v>
      </c>
      <c r="B33" s="3" t="n">
        <v>371</v>
      </c>
      <c r="C33" s="3" t="n">
        <v>11707</v>
      </c>
      <c r="D33" s="3" t="n">
        <v>12729</v>
      </c>
      <c r="E33" s="3" t="n">
        <v>12983</v>
      </c>
      <c r="F33" s="3" t="n">
        <v>13399</v>
      </c>
      <c r="G33" s="3" t="n">
        <v>23859</v>
      </c>
    </row>
    <row r="34" customFormat="false" ht="15" hidden="false" customHeight="false" outlineLevel="0" collapsed="false">
      <c r="A34" s="14" t="s">
        <v>67</v>
      </c>
      <c r="B34" s="15" t="n">
        <f aca="false">SUM(B26:B33)</f>
        <v>35578</v>
      </c>
      <c r="C34" s="15" t="n">
        <f aca="false">SUM(C26:C33)</f>
        <v>38707</v>
      </c>
      <c r="D34" s="15" t="n">
        <f aca="false">SUM(D26:D33)</f>
        <v>43100</v>
      </c>
      <c r="E34" s="15" t="n">
        <f aca="false">SUM(E26:E33)</f>
        <v>44321</v>
      </c>
      <c r="F34" s="15" t="n">
        <f aca="false">SUM(F26:F33)</f>
        <v>45949</v>
      </c>
      <c r="G34" s="15" t="n">
        <f aca="false">SUM(G26:G33)</f>
        <v>60321</v>
      </c>
    </row>
    <row r="35" customFormat="false" ht="15" hidden="false" customHeight="false" outlineLevel="0" collapsed="false">
      <c r="A35" s="9" t="s">
        <v>68</v>
      </c>
      <c r="B35" s="3" t="n">
        <v>14026</v>
      </c>
      <c r="C35" s="3" t="n">
        <v>16042</v>
      </c>
      <c r="D35" s="3" t="n">
        <v>19035</v>
      </c>
      <c r="E35" s="3" t="n">
        <v>21072</v>
      </c>
      <c r="F35" s="3" t="n">
        <v>23363</v>
      </c>
      <c r="G35" s="3" t="n">
        <v>27499</v>
      </c>
    </row>
    <row r="37" customFormat="false" ht="15" hidden="false" customHeight="false" outlineLevel="0" collapsed="false">
      <c r="A37" s="14" t="s">
        <v>69</v>
      </c>
      <c r="B37" s="15" t="n">
        <f aca="false">B34-B35</f>
        <v>21552</v>
      </c>
      <c r="C37" s="15" t="n">
        <f aca="false">C34-C35</f>
        <v>22665</v>
      </c>
      <c r="D37" s="15" t="n">
        <f aca="false">D34-D35</f>
        <v>24065</v>
      </c>
      <c r="E37" s="15" t="n">
        <f aca="false">E34-E35</f>
        <v>23249</v>
      </c>
      <c r="F37" s="15" t="n">
        <f aca="false">F34-F35</f>
        <v>22586</v>
      </c>
      <c r="G37" s="15" t="n">
        <f aca="false">G34-G35</f>
        <v>32822</v>
      </c>
    </row>
    <row r="39" customFormat="false" ht="15" hidden="false" customHeight="false" outlineLevel="0" collapsed="false">
      <c r="A39" s="14" t="s">
        <v>70</v>
      </c>
      <c r="B39" s="15" t="n">
        <f aca="false">B23+B37</f>
        <v>35722</v>
      </c>
      <c r="C39" s="15" t="n">
        <f aca="false">C23+C37</f>
        <v>33187</v>
      </c>
      <c r="D39" s="15" t="n">
        <f aca="false">D23+D37</f>
        <v>40633</v>
      </c>
      <c r="E39" s="15" t="n">
        <f aca="false">E23+E37</f>
        <v>39499</v>
      </c>
      <c r="F39" s="15" t="n">
        <f aca="false">F23+F37</f>
        <v>38518</v>
      </c>
      <c r="G39" s="15" t="n">
        <f aca="false">G23+G37</f>
        <v>49130</v>
      </c>
    </row>
    <row r="40" customFormat="false" ht="15" hidden="false" customHeight="false" outlineLevel="0" collapsed="false">
      <c r="A40" s="9" t="s">
        <v>14</v>
      </c>
      <c r="B40" s="3" t="n">
        <v>2940.8</v>
      </c>
      <c r="C40" s="3" t="n">
        <v>4608.67</v>
      </c>
      <c r="D40" s="3" t="n">
        <v>9580.43</v>
      </c>
      <c r="E40" s="3" t="n">
        <v>11326.36</v>
      </c>
      <c r="F40" s="3" t="n">
        <v>13983.49</v>
      </c>
      <c r="G40" s="3" t="n">
        <v>15457.79</v>
      </c>
    </row>
    <row r="41" customFormat="false" ht="15" hidden="false" customHeight="false" outlineLevel="0" collapsed="false">
      <c r="A41" s="14" t="s">
        <v>71</v>
      </c>
      <c r="B41" s="21" t="n">
        <f aca="false">B40/B39</f>
        <v>0.0823246178825374</v>
      </c>
      <c r="C41" s="21" t="n">
        <f aca="false">C40/C39</f>
        <v>0.138869738150481</v>
      </c>
      <c r="D41" s="21" t="n">
        <f aca="false">D40/D39</f>
        <v>0.235779538798514</v>
      </c>
      <c r="E41" s="21" t="n">
        <f aca="false">E40/E39</f>
        <v>0.286750550646852</v>
      </c>
      <c r="F41" s="21" t="n">
        <f aca="false">F40/F39</f>
        <v>0.363037800508853</v>
      </c>
      <c r="G41" s="21" t="n">
        <f aca="false">G40/G39</f>
        <v>0.31463036841034</v>
      </c>
    </row>
    <row r="43" customFormat="false" ht="18" hidden="false" customHeight="true" outlineLevel="0" collapsed="false">
      <c r="A43" s="5" t="s">
        <v>72</v>
      </c>
      <c r="B43" s="5"/>
      <c r="C43" s="5"/>
      <c r="D43" s="5"/>
      <c r="E43" s="5"/>
      <c r="F43" s="5"/>
      <c r="G43" s="5"/>
    </row>
    <row r="44" customFormat="false" ht="15" hidden="false" customHeight="false" outlineLevel="0" collapsed="false">
      <c r="B44" s="8" t="s">
        <v>41</v>
      </c>
      <c r="C44" s="8" t="s">
        <v>42</v>
      </c>
      <c r="D44" s="8" t="s">
        <v>43</v>
      </c>
      <c r="E44" s="8" t="s">
        <v>44</v>
      </c>
      <c r="F44" s="8" t="s">
        <v>45</v>
      </c>
      <c r="G44" s="8" t="s">
        <v>8</v>
      </c>
    </row>
    <row r="46" customFormat="false" ht="15" hidden="false" customHeight="false" outlineLevel="0" collapsed="false">
      <c r="A46" s="9" t="s">
        <v>73</v>
      </c>
      <c r="B46" s="3" t="n">
        <v>1073</v>
      </c>
      <c r="C46" s="3" t="n">
        <v>1434</v>
      </c>
      <c r="D46" s="3" t="n">
        <v>2065</v>
      </c>
      <c r="E46" s="3" t="n">
        <v>2171</v>
      </c>
      <c r="F46" s="3" t="n">
        <v>2068</v>
      </c>
      <c r="G46" s="3" t="n">
        <v>3513</v>
      </c>
    </row>
    <row r="47" customFormat="false" ht="15" hidden="false" customHeight="false" outlineLevel="0" collapsed="false">
      <c r="A47" s="9" t="s">
        <v>74</v>
      </c>
      <c r="C47" s="3" t="n">
        <v>-3648</v>
      </c>
      <c r="D47" s="3" t="n">
        <v>6046</v>
      </c>
      <c r="E47" s="3" t="n">
        <v>-318</v>
      </c>
      <c r="F47" s="3" t="n">
        <v>-318</v>
      </c>
      <c r="G47" s="3" t="n">
        <v>376</v>
      </c>
    </row>
    <row r="49" customFormat="false" ht="15" hidden="false" customHeight="false" outlineLevel="0" collapsed="false">
      <c r="A49" s="9" t="s">
        <v>14</v>
      </c>
      <c r="B49" s="10" t="n">
        <f aca="false">B40</f>
        <v>2940.8</v>
      </c>
      <c r="C49" s="10" t="n">
        <f aca="false">C40</f>
        <v>4608.67</v>
      </c>
      <c r="D49" s="10" t="n">
        <f aca="false">D40</f>
        <v>9580.43</v>
      </c>
      <c r="E49" s="10" t="n">
        <f aca="false">E40</f>
        <v>11326.36</v>
      </c>
      <c r="F49" s="10" t="n">
        <f aca="false">F40</f>
        <v>13983.49</v>
      </c>
      <c r="G49" s="10" t="n">
        <f aca="false">G40</f>
        <v>15457.79</v>
      </c>
    </row>
    <row r="50" customFormat="false" ht="15" hidden="false" customHeight="false" outlineLevel="0" collapsed="false">
      <c r="A50" s="9" t="s">
        <v>15</v>
      </c>
      <c r="B50" s="12" t="n">
        <f aca="false">WACC!$E$10</f>
        <v>0.2517</v>
      </c>
      <c r="C50" s="12" t="n">
        <f aca="false">WACC!$E$10</f>
        <v>0.2517</v>
      </c>
      <c r="D50" s="12" t="n">
        <f aca="false">WACC!$E$10</f>
        <v>0.2517</v>
      </c>
      <c r="E50" s="12" t="n">
        <f aca="false">WACC!$E$10</f>
        <v>0.2517</v>
      </c>
      <c r="F50" s="12" t="n">
        <f aca="false">WACC!$E$10</f>
        <v>0.2517</v>
      </c>
      <c r="G50" s="12" t="n">
        <f aca="false">WACC!$E$10</f>
        <v>0.2517</v>
      </c>
    </row>
    <row r="51" customFormat="false" ht="15" hidden="false" customHeight="false" outlineLevel="0" collapsed="false">
      <c r="A51" s="9" t="s">
        <v>16</v>
      </c>
      <c r="B51" s="11" t="n">
        <f aca="false">B49*(1-B50)</f>
        <v>2200.60064</v>
      </c>
      <c r="C51" s="11" t="n">
        <f aca="false">C49*(1-C50)</f>
        <v>3448.667761</v>
      </c>
      <c r="D51" s="11" t="n">
        <f aca="false">D49*(1-D50)</f>
        <v>7169.035769</v>
      </c>
      <c r="E51" s="11" t="n">
        <f aca="false">E49*(1-E50)</f>
        <v>8475.515188</v>
      </c>
      <c r="F51" s="11" t="n">
        <f aca="false">F49*(1-F50)</f>
        <v>10463.845567</v>
      </c>
      <c r="G51" s="11" t="n">
        <f aca="false">G49*(1-G50)</f>
        <v>11567.064257</v>
      </c>
    </row>
    <row r="52" customFormat="false" ht="15" hidden="false" customHeight="false" outlineLevel="0" collapsed="false">
      <c r="A52" s="14" t="s">
        <v>75</v>
      </c>
      <c r="C52" s="15" t="n">
        <f aca="false">C46+C47</f>
        <v>-2214</v>
      </c>
      <c r="D52" s="15" t="n">
        <f aca="false">D46+D47</f>
        <v>8111</v>
      </c>
      <c r="E52" s="15" t="n">
        <f aca="false">E46+E47</f>
        <v>1853</v>
      </c>
      <c r="F52" s="15" t="n">
        <f aca="false">F46+F47</f>
        <v>1750</v>
      </c>
      <c r="G52" s="15" t="n">
        <f aca="false">G46+G47</f>
        <v>3889</v>
      </c>
    </row>
    <row r="53" customFormat="false" ht="15" hidden="false" customHeight="false" outlineLevel="0" collapsed="false">
      <c r="A53" s="14" t="s">
        <v>76</v>
      </c>
      <c r="C53" s="21" t="n">
        <f aca="false">C52/C51</f>
        <v>-0.641987037730191</v>
      </c>
      <c r="D53" s="21" t="n">
        <f aca="false">D52/D51</f>
        <v>1.13139343439646</v>
      </c>
      <c r="E53" s="21" t="n">
        <f aca="false">E52/E51</f>
        <v>0.21862977752946</v>
      </c>
      <c r="F53" s="21" t="n">
        <f aca="false">F52/F51</f>
        <v>0.167242529411845</v>
      </c>
      <c r="G53" s="21" t="n">
        <f aca="false">G52/G51</f>
        <v>0.336213226934095</v>
      </c>
    </row>
    <row r="55" customFormat="false" ht="15" hidden="false" customHeight="false" outlineLevel="0" collapsed="false">
      <c r="A55" s="9" t="s">
        <v>77</v>
      </c>
      <c r="C55" s="19" t="n">
        <f aca="false">AVERAGE(C53:G53)</f>
        <v>0.242298386108334</v>
      </c>
    </row>
    <row r="56" customFormat="false" ht="15" hidden="false" customHeight="false" outlineLevel="0" collapsed="false">
      <c r="A56" s="9" t="s">
        <v>78</v>
      </c>
      <c r="C56" s="19" t="n">
        <f aca="false">MEDIAN(C53:G53)</f>
        <v>0.21862977752946</v>
      </c>
    </row>
    <row r="58" customFormat="false" ht="18" hidden="false" customHeight="true" outlineLevel="0" collapsed="false">
      <c r="A58" s="5" t="s">
        <v>79</v>
      </c>
      <c r="B58" s="5"/>
      <c r="C58" s="5"/>
      <c r="D58" s="5"/>
      <c r="E58" s="5"/>
      <c r="F58" s="5"/>
      <c r="G58" s="5"/>
    </row>
    <row r="59" customFormat="false" ht="15" hidden="false" customHeight="false" outlineLevel="0" collapsed="false">
      <c r="B59" s="8" t="s">
        <v>41</v>
      </c>
      <c r="C59" s="8" t="s">
        <v>42</v>
      </c>
      <c r="D59" s="8" t="s">
        <v>43</v>
      </c>
      <c r="E59" s="8" t="s">
        <v>44</v>
      </c>
      <c r="F59" s="8" t="s">
        <v>45</v>
      </c>
      <c r="G59" s="8" t="s">
        <v>8</v>
      </c>
    </row>
    <row r="61" customFormat="false" ht="15" hidden="false" customHeight="false" outlineLevel="0" collapsed="false">
      <c r="A61" s="9" t="s">
        <v>71</v>
      </c>
      <c r="B61" s="19" t="n">
        <f aca="false">B41</f>
        <v>0.0823246178825374</v>
      </c>
      <c r="C61" s="19" t="n">
        <f aca="false">C41</f>
        <v>0.138869738150481</v>
      </c>
      <c r="D61" s="19" t="n">
        <f aca="false">D41</f>
        <v>0.235779538798514</v>
      </c>
      <c r="E61" s="19" t="n">
        <f aca="false">E41</f>
        <v>0.286750550646852</v>
      </c>
      <c r="F61" s="19" t="n">
        <f aca="false">F41</f>
        <v>0.363037800508853</v>
      </c>
      <c r="G61" s="19" t="n">
        <f aca="false">G41</f>
        <v>0.31463036841034</v>
      </c>
    </row>
    <row r="62" customFormat="false" ht="15" hidden="false" customHeight="false" outlineLevel="0" collapsed="false">
      <c r="A62" s="9" t="s">
        <v>76</v>
      </c>
      <c r="C62" s="19" t="n">
        <f aca="false">C53</f>
        <v>-0.641987037730191</v>
      </c>
      <c r="D62" s="19" t="n">
        <f aca="false">D53</f>
        <v>1.13139343439646</v>
      </c>
      <c r="E62" s="19" t="n">
        <f aca="false">E53</f>
        <v>0.21862977752946</v>
      </c>
      <c r="F62" s="19" t="n">
        <f aca="false">F53</f>
        <v>0.167242529411845</v>
      </c>
      <c r="G62" s="19" t="n">
        <f aca="false">G53</f>
        <v>0.336213226934095</v>
      </c>
    </row>
    <row r="63" customFormat="false" ht="15" hidden="false" customHeight="false" outlineLevel="0" collapsed="false">
      <c r="A63" s="14" t="s">
        <v>80</v>
      </c>
      <c r="C63" s="21" t="n">
        <f aca="false">C61*C62</f>
        <v>-0.0891525718255943</v>
      </c>
      <c r="D63" s="21" t="n">
        <f aca="false">D61*D62</f>
        <v>0.266759422161664</v>
      </c>
      <c r="E63" s="21" t="n">
        <f aca="false">E61*E62</f>
        <v>0.0626922090943714</v>
      </c>
      <c r="F63" s="21" t="n">
        <f aca="false">F61*F62</f>
        <v>0.0607153600292133</v>
      </c>
      <c r="G63" s="21" t="n">
        <f aca="false">G61*G62</f>
        <v>0.105782891454704</v>
      </c>
    </row>
    <row r="65" customFormat="false" ht="15" hidden="false" customHeight="false" outlineLevel="0" collapsed="false">
      <c r="A65" s="9" t="s">
        <v>77</v>
      </c>
      <c r="C65" s="19" t="n">
        <f aca="false">AVERAGE(C63:G63)</f>
        <v>0.0813594621828717</v>
      </c>
    </row>
    <row r="66" customFormat="false" ht="15" hidden="false" customHeight="false" outlineLevel="0" collapsed="false">
      <c r="A66" s="9" t="s">
        <v>78</v>
      </c>
      <c r="C66" s="19" t="n">
        <f aca="false">MEDIAN(C63:G63)</f>
        <v>0.0626922090943714</v>
      </c>
    </row>
  </sheetData>
  <mergeCells count="3">
    <mergeCell ref="A7:G7"/>
    <mergeCell ref="A43:G43"/>
    <mergeCell ref="A58:G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  <c r="B3" s="3" t="n">
        <v>1858</v>
      </c>
    </row>
    <row r="4" customFormat="false" ht="15" hidden="false" customHeight="false" outlineLevel="0" collapsed="false">
      <c r="A4" s="2" t="s">
        <v>3</v>
      </c>
      <c r="B4" s="3" t="n">
        <v>2048</v>
      </c>
      <c r="C4" s="3" t="n">
        <v>1547</v>
      </c>
    </row>
    <row r="5" customFormat="false" ht="15" hidden="false" customHeight="false" outlineLevel="0" collapsed="false">
      <c r="A5" s="4" t="s">
        <v>4</v>
      </c>
    </row>
    <row r="7" customFormat="false" ht="18" hidden="false" customHeight="true" outlineLevel="0" collapsed="false">
      <c r="A7" s="5" t="s">
        <v>23</v>
      </c>
      <c r="B7" s="5"/>
      <c r="C7" s="5"/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A8" s="14" t="s">
        <v>81</v>
      </c>
    </row>
    <row r="9" customFormat="false" ht="15" hidden="false" customHeight="false" outlineLevel="0" collapsed="false">
      <c r="B9" s="8" t="s">
        <v>82</v>
      </c>
      <c r="C9" s="8" t="s">
        <v>83</v>
      </c>
      <c r="D9" s="8" t="s">
        <v>84</v>
      </c>
      <c r="E9" s="8" t="s">
        <v>15</v>
      </c>
      <c r="F9" s="8" t="s">
        <v>85</v>
      </c>
      <c r="G9" s="8" t="s">
        <v>86</v>
      </c>
      <c r="H9" s="8" t="s">
        <v>87</v>
      </c>
      <c r="I9" s="8" t="s">
        <v>88</v>
      </c>
    </row>
    <row r="10" customFormat="false" ht="15" hidden="false" customHeight="false" outlineLevel="0" collapsed="false">
      <c r="A10" s="9" t="s">
        <v>89</v>
      </c>
      <c r="B10" s="22" t="s">
        <v>90</v>
      </c>
      <c r="C10" s="3" t="n">
        <v>4627.32</v>
      </c>
      <c r="D10" s="3" t="n">
        <v>83570.09</v>
      </c>
      <c r="E10" s="13" t="n">
        <v>0.2517</v>
      </c>
      <c r="F10" s="19" t="n">
        <f aca="false">C10/D10</f>
        <v>0.0553705279005922</v>
      </c>
      <c r="G10" s="19" t="n">
        <f aca="false">C10/(C10+D10)</f>
        <v>0.0524654862313984</v>
      </c>
      <c r="H10" s="23" t="n">
        <v>0.63</v>
      </c>
      <c r="I10" s="24" t="n">
        <f aca="false">H10/(1+(1-E10)*F10)</f>
        <v>0.604935254214769</v>
      </c>
    </row>
    <row r="11" customFormat="false" ht="15" hidden="false" customHeight="false" outlineLevel="0" collapsed="false">
      <c r="A11" s="9" t="s">
        <v>91</v>
      </c>
      <c r="B11" s="22" t="s">
        <v>90</v>
      </c>
      <c r="C11" s="3" t="n">
        <v>1525.5</v>
      </c>
      <c r="D11" s="3" t="n">
        <v>8388</v>
      </c>
      <c r="E11" s="13" t="n">
        <v>0.2517</v>
      </c>
      <c r="F11" s="19" t="n">
        <f aca="false">C11/D11</f>
        <v>0.1818669527897</v>
      </c>
      <c r="G11" s="19" t="n">
        <f aca="false">C11/(C11+D11)</f>
        <v>0.153881071266455</v>
      </c>
      <c r="H11" s="23" t="n">
        <v>0.62</v>
      </c>
      <c r="I11" s="24" t="n">
        <f aca="false">H11/(1+(1-E11)*F11)</f>
        <v>0.545730912179719</v>
      </c>
    </row>
    <row r="12" customFormat="false" ht="15" hidden="false" customHeight="false" outlineLevel="0" collapsed="false">
      <c r="A12" s="9" t="s">
        <v>92</v>
      </c>
      <c r="B12" s="22" t="s">
        <v>90</v>
      </c>
      <c r="C12" s="3" t="n">
        <v>8492.9</v>
      </c>
      <c r="D12" s="3" t="n">
        <v>9480</v>
      </c>
      <c r="E12" s="13" t="n">
        <v>0.2517</v>
      </c>
      <c r="F12" s="19" t="n">
        <f aca="false">C12/D12</f>
        <v>0.89587552742616</v>
      </c>
      <c r="G12" s="19" t="n">
        <f aca="false">C12/(C12+D12)</f>
        <v>0.472539211813341</v>
      </c>
      <c r="H12" s="23" t="n">
        <v>0.91</v>
      </c>
      <c r="I12" s="24" t="n">
        <f aca="false">H12/(1+(1-E12)*F12)</f>
        <v>0.544785023543699</v>
      </c>
    </row>
    <row r="13" customFormat="false" ht="15" hidden="false" customHeight="false" outlineLevel="0" collapsed="false">
      <c r="A13" s="9" t="s">
        <v>93</v>
      </c>
      <c r="B13" s="22" t="s">
        <v>90</v>
      </c>
      <c r="C13" s="3" t="n">
        <v>1249</v>
      </c>
      <c r="D13" s="3" t="n">
        <v>27112</v>
      </c>
      <c r="E13" s="13" t="n">
        <v>0.2517</v>
      </c>
      <c r="F13" s="19" t="n">
        <f aca="false">C13/D13</f>
        <v>0.0460681616996164</v>
      </c>
      <c r="G13" s="19" t="n">
        <f aca="false">C13/(C13+D13)</f>
        <v>0.0440393498113607</v>
      </c>
      <c r="H13" s="23" t="n">
        <v>0.65</v>
      </c>
      <c r="I13" s="24" t="n">
        <f aca="false">H13/(1+(1-E13)*F13)</f>
        <v>0.628339378867263</v>
      </c>
    </row>
    <row r="14" customFormat="false" ht="15" hidden="false" customHeight="false" outlineLevel="0" collapsed="false">
      <c r="A14" s="9" t="s">
        <v>94</v>
      </c>
      <c r="B14" s="22" t="s">
        <v>90</v>
      </c>
      <c r="C14" s="3" t="n">
        <v>616</v>
      </c>
      <c r="D14" s="3" t="n">
        <v>34432</v>
      </c>
      <c r="E14" s="13" t="n">
        <v>0.2517</v>
      </c>
      <c r="F14" s="19" t="n">
        <f aca="false">C14/D14</f>
        <v>0.0178903345724907</v>
      </c>
      <c r="G14" s="19" t="n">
        <f aca="false">C14/(C14+D14)</f>
        <v>0.0175758959141748</v>
      </c>
      <c r="H14" s="23" t="n">
        <v>0.7</v>
      </c>
      <c r="I14" s="24" t="n">
        <f aca="false">H14/(1+(1-E14)*F14)</f>
        <v>0.690752661093216</v>
      </c>
    </row>
    <row r="15" customFormat="false" ht="15" hidden="false" customHeight="false" outlineLevel="0" collapsed="false">
      <c r="A15" s="14" t="s">
        <v>95</v>
      </c>
      <c r="E15" s="21" t="n">
        <f aca="false">AVERAGE(E10:E14)</f>
        <v>0.2517</v>
      </c>
      <c r="F15" s="21" t="n">
        <f aca="false">AVERAGE(F10:F14)</f>
        <v>0.239414300877712</v>
      </c>
      <c r="G15" s="21" t="n">
        <f aca="false">AVERAGE(G10:G14)</f>
        <v>0.148100203007346</v>
      </c>
      <c r="H15" s="25" t="n">
        <f aca="false">AVERAGE(H10:H14)</f>
        <v>0.702</v>
      </c>
      <c r="I15" s="25" t="n">
        <f aca="false">AVERAGE(I10:I14)</f>
        <v>0.602908645979733</v>
      </c>
    </row>
    <row r="16" customFormat="false" ht="15" hidden="false" customHeight="false" outlineLevel="0" collapsed="false">
      <c r="A16" s="14" t="s">
        <v>96</v>
      </c>
      <c r="E16" s="21" t="n">
        <f aca="false">MEDIAN(E10:E14)</f>
        <v>0.2517</v>
      </c>
      <c r="F16" s="21" t="n">
        <f aca="false">MEDIAN(F10:F14)</f>
        <v>0.0553705279005922</v>
      </c>
      <c r="G16" s="21" t="n">
        <f aca="false">MEDIAN(G10:G14)</f>
        <v>0.0524654862313984</v>
      </c>
      <c r="H16" s="25" t="n">
        <f aca="false">MEDIAN(H10:H14)</f>
        <v>0.65</v>
      </c>
      <c r="I16" s="25" t="n">
        <f aca="false">MEDIAN(I10:I14)</f>
        <v>0.604935254214769</v>
      </c>
    </row>
    <row r="18" customFormat="false" ht="15" hidden="false" customHeight="false" outlineLevel="0" collapsed="false">
      <c r="A18" s="14" t="s">
        <v>97</v>
      </c>
      <c r="D18" s="14" t="s">
        <v>98</v>
      </c>
    </row>
    <row r="19" customFormat="false" ht="15" hidden="false" customHeight="false" outlineLevel="0" collapsed="false">
      <c r="A19" s="9" t="s">
        <v>99</v>
      </c>
      <c r="B19" s="13" t="n">
        <v>0.0787</v>
      </c>
      <c r="D19" s="9" t="s">
        <v>100</v>
      </c>
      <c r="E19" s="13" t="n">
        <v>0.0705</v>
      </c>
    </row>
    <row r="20" customFormat="false" ht="15" hidden="false" customHeight="false" outlineLevel="0" collapsed="false">
      <c r="A20" s="9" t="s">
        <v>15</v>
      </c>
      <c r="B20" s="19" t="n">
        <f aca="false">E10</f>
        <v>0.2517</v>
      </c>
      <c r="D20" s="9" t="s">
        <v>101</v>
      </c>
      <c r="E20" s="13" t="n">
        <v>0.059</v>
      </c>
    </row>
    <row r="21" customFormat="false" ht="15" hidden="false" customHeight="false" outlineLevel="0" collapsed="false">
      <c r="A21" s="14" t="s">
        <v>102</v>
      </c>
      <c r="B21" s="21" t="n">
        <f aca="false">B19*(1-B20)</f>
        <v>0.05889121</v>
      </c>
      <c r="D21" s="9" t="s">
        <v>87</v>
      </c>
      <c r="E21" s="26" t="n">
        <f aca="false">G29</f>
        <v>0.683631094905859</v>
      </c>
    </row>
    <row r="22" customFormat="false" ht="15" hidden="false" customHeight="false" outlineLevel="0" collapsed="false">
      <c r="D22" s="14" t="s">
        <v>98</v>
      </c>
      <c r="E22" s="21" t="n">
        <f aca="false">E19+E21*E20</f>
        <v>0.110834234599446</v>
      </c>
    </row>
    <row r="24" customFormat="false" ht="15" hidden="false" customHeight="false" outlineLevel="0" collapsed="false">
      <c r="A24" s="14" t="s">
        <v>103</v>
      </c>
      <c r="F24" s="14" t="s">
        <v>87</v>
      </c>
    </row>
    <row r="25" customFormat="false" ht="15" hidden="false" customHeight="false" outlineLevel="0" collapsed="false">
      <c r="C25" s="6" t="s">
        <v>104</v>
      </c>
      <c r="D25" s="6" t="s">
        <v>105</v>
      </c>
    </row>
    <row r="26" customFormat="false" ht="15" hidden="false" customHeight="false" outlineLevel="0" collapsed="false">
      <c r="A26" s="9" t="s">
        <v>83</v>
      </c>
      <c r="B26" s="10" t="n">
        <f aca="false">C10</f>
        <v>4627.32</v>
      </c>
      <c r="C26" s="19" t="n">
        <f aca="false">B26/B28</f>
        <v>0.0102089227271307</v>
      </c>
      <c r="D26" s="19" t="n">
        <f aca="false">G15</f>
        <v>0.148100203007346</v>
      </c>
      <c r="F26" s="9" t="s">
        <v>106</v>
      </c>
      <c r="G26" s="24" t="n">
        <f aca="false">I16</f>
        <v>0.604935254214769</v>
      </c>
    </row>
    <row r="27" customFormat="false" ht="15" hidden="false" customHeight="false" outlineLevel="0" collapsed="false">
      <c r="A27" s="9" t="s">
        <v>107</v>
      </c>
      <c r="B27" s="3" t="n">
        <v>448635</v>
      </c>
      <c r="C27" s="19" t="n">
        <f aca="false">B27/B28</f>
        <v>0.989791077272869</v>
      </c>
      <c r="D27" s="19" t="n">
        <f aca="false">1-D26</f>
        <v>0.851899796992654</v>
      </c>
      <c r="F27" s="9" t="s">
        <v>108</v>
      </c>
      <c r="G27" s="19" t="n">
        <f aca="false">D29</f>
        <v>0.173846975348702</v>
      </c>
    </row>
    <row r="28" customFormat="false" ht="15" hidden="false" customHeight="false" outlineLevel="0" collapsed="false">
      <c r="A28" s="14" t="s">
        <v>109</v>
      </c>
      <c r="B28" s="15" t="n">
        <f aca="false">B26+B27</f>
        <v>453262.32</v>
      </c>
      <c r="C28" s="21" t="n">
        <f aca="false">C26+C27</f>
        <v>1</v>
      </c>
      <c r="D28" s="21" t="n">
        <f aca="false">D26+D27</f>
        <v>1</v>
      </c>
      <c r="F28" s="9" t="s">
        <v>15</v>
      </c>
      <c r="G28" s="19" t="n">
        <f aca="false">B20</f>
        <v>0.2517</v>
      </c>
    </row>
    <row r="29" customFormat="false" ht="15" hidden="false" customHeight="false" outlineLevel="0" collapsed="false">
      <c r="A29" s="9" t="s">
        <v>85</v>
      </c>
      <c r="C29" s="19" t="n">
        <f aca="false">B26/B27</f>
        <v>0.0103142198000602</v>
      </c>
      <c r="D29" s="19" t="n">
        <f aca="false">D26/D27</f>
        <v>0.173846975348702</v>
      </c>
      <c r="F29" s="14" t="s">
        <v>87</v>
      </c>
      <c r="G29" s="25" t="n">
        <f aca="false">G26*(1+(1-G28)*G27)</f>
        <v>0.683631094905859</v>
      </c>
    </row>
    <row r="32" customFormat="false" ht="18" hidden="false" customHeight="true" outlineLevel="0" collapsed="false">
      <c r="A32" s="5" t="s">
        <v>110</v>
      </c>
      <c r="B32" s="5"/>
      <c r="C32" s="5"/>
      <c r="D32" s="5"/>
    </row>
    <row r="33" customFormat="false" ht="15" hidden="false" customHeight="false" outlineLevel="0" collapsed="false">
      <c r="C33" s="6" t="s">
        <v>111</v>
      </c>
      <c r="D33" s="6" t="s">
        <v>112</v>
      </c>
    </row>
    <row r="34" customFormat="false" ht="15" hidden="false" customHeight="false" outlineLevel="0" collapsed="false">
      <c r="A34" s="9" t="s">
        <v>113</v>
      </c>
      <c r="C34" s="19" t="n">
        <f aca="false">B21</f>
        <v>0.05889121</v>
      </c>
      <c r="D34" s="19" t="n">
        <f aca="false">D26</f>
        <v>0.148100203007346</v>
      </c>
    </row>
    <row r="35" customFormat="false" ht="15" hidden="false" customHeight="false" outlineLevel="0" collapsed="false">
      <c r="A35" s="9" t="s">
        <v>114</v>
      </c>
      <c r="C35" s="19" t="n">
        <f aca="false">E22</f>
        <v>0.110834234599446</v>
      </c>
      <c r="D35" s="19" t="n">
        <f aca="false">D27</f>
        <v>0.851899796992654</v>
      </c>
    </row>
    <row r="36" customFormat="false" ht="15" hidden="false" customHeight="false" outlineLevel="0" collapsed="false">
      <c r="A36" s="14" t="s">
        <v>27</v>
      </c>
      <c r="D36" s="21" t="n">
        <f aca="false">C34*D34+C35*D35</f>
        <v>0.103141462111452</v>
      </c>
    </row>
    <row r="38" customFormat="false" ht="15" hidden="false" customHeight="false" outlineLevel="0" collapsed="false">
      <c r="A38" s="14" t="s">
        <v>115</v>
      </c>
    </row>
    <row r="39" customFormat="false" ht="15" hidden="false" customHeight="false" outlineLevel="0" collapsed="false">
      <c r="A39" s="4" t="s">
        <v>116</v>
      </c>
    </row>
    <row r="40" customFormat="false" ht="15" hidden="false" customHeight="false" outlineLevel="0" collapsed="false">
      <c r="A40" s="4" t="s">
        <v>117</v>
      </c>
    </row>
    <row r="41" customFormat="false" ht="15" hidden="false" customHeight="false" outlineLevel="0" collapsed="false">
      <c r="A41" s="4" t="s">
        <v>118</v>
      </c>
    </row>
    <row r="42" customFormat="false" ht="15" hidden="false" customHeight="false" outlineLevel="0" collapsed="false">
      <c r="A42" s="4" t="s">
        <v>119</v>
      </c>
    </row>
    <row r="43" customFormat="false" ht="15" hidden="false" customHeight="false" outlineLevel="0" collapsed="false">
      <c r="A43" s="4" t="s">
        <v>120</v>
      </c>
    </row>
  </sheetData>
  <mergeCells count="2">
    <mergeCell ref="A7:I7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2026-09-23T10:05:07Z</dcterms:created>
  <dc:creator>openpyxl</dc:creator>
  <dc:description/>
  <dc:language>en-US</dc:language>
  <cp:lastModifiedBy/>
  <dcterms:modified xsi:type="dcterms:W3CDTF">2026-09-23T10:05:07Z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