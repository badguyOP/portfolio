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Annual P&amp;L" sheetId="1" state="visible" r:id="rId3"/>
    <sheet name="BS" sheetId="2" state="visible" r:id="rId4"/>
    <sheet name="CFS" sheetId="3" state="visible" r:id="rId5"/>
    <sheet name="Notes" sheetId="4" state="visible" r:id="rId6"/>
    <sheet name="Checks" sheetId="5" state="visible" r:id="rId7"/>
    <sheet name="Summary &amp; Ratios" sheetId="6" state="visible" r:id="rId8"/>
    <sheet name="Scenario Valuation"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FY24A-FY26A standalone revenue per Ather Energy Ltd annual accounts (Screener.in / company filings, accessed Sep-2026).</t>
        </r>
      </text>
    </comment>
    <comment ref="B5" authorId="0">
      <text>
        <r>
          <rPr>
            <sz val="10"/>
            <rFont val="Arial"/>
            <family val="2"/>
          </rPr>
          <t xml:space="preserve">FY24A other income was negative, reflecting fair-value/forex movements within 'other income' that year per reported accounts.</t>
        </r>
      </text>
    </comment>
    <comment ref="B11" authorId="0">
      <text>
        <r>
          <rPr>
            <sz val="10"/>
            <rFont val="Arial"/>
            <family val="2"/>
          </rPr>
          <t xml:space="preserve">Reported FY24A-26A 'Total Expenses' (materials + purchases + inventory change + employee + other) are per Ather Energy Ltd standalone P&amp;L (Screener.in). The split across these five sub-lines is a modeled estimate (Ather does not disclose this granularity publicly) constructed to foot exactly to the reported total each year and to the reported EBITDA (row 16).</t>
        </r>
      </text>
    </comment>
    <comment ref="B27" authorId="0">
      <text>
        <r>
          <rPr>
            <sz val="10"/>
            <rFont val="Arial"/>
            <family val="2"/>
          </rPr>
          <t xml:space="preserve">EPS not meaningful for FY24A/FY25A given the pre-IPO capital structure is not comparable to the post-listing share count.</t>
        </r>
      </text>
    </comment>
    <comment ref="D29" authorId="0">
      <text>
        <r>
          <rPr>
            <sz val="10"/>
            <rFont val="Arial"/>
            <family val="2"/>
          </rPr>
          <t xml:space="preserve">FY26A weighted-average diluted shares blend ~29 Cr pre-IPO and ~38 Cr post-IPO (May-2025 listing). FY27E onward reflects the Jul-2026 QIP taking shares outstanding to ~39.1 Cr; no further dilution assumed.</t>
        </r>
      </text>
    </comment>
    <comment ref="J4" authorId="0">
      <text>
        <r>
          <rPr>
            <sz val="10"/>
            <rFont val="Arial"/>
            <family val="2"/>
          </rPr>
          <t xml:space="preserve">Blue = hardcoded assumption. See Notes tab for management-guidance vs. analyst-assumption source split.</t>
        </r>
      </text>
    </comment>
    <comment ref="J8" authorId="0">
      <text>
        <r>
          <rPr>
            <sz val="10"/>
            <rFont val="Arial"/>
            <family val="2"/>
          </rPr>
          <t xml:space="preserve">Blue = hardcoded assumption. See Notes tab for management-guidance vs. analyst-assumption source split.</t>
        </r>
      </text>
    </comment>
    <comment ref="J9" authorId="0">
      <text>
        <r>
          <rPr>
            <sz val="10"/>
            <rFont val="Arial"/>
            <family val="2"/>
          </rPr>
          <t xml:space="preserve">Blue = hardcoded assumption. See Notes tab for management-guidance vs. analyst-assumption source split.</t>
        </r>
      </text>
    </comment>
    <comment ref="K4" authorId="0">
      <text>
        <r>
          <rPr>
            <sz val="10"/>
            <rFont val="Arial"/>
            <family val="2"/>
          </rPr>
          <t xml:space="preserve">Blue = hardcoded assumption. See Notes tab for management-guidance vs. analyst-assumption source split.</t>
        </r>
      </text>
    </comment>
    <comment ref="K8" authorId="0">
      <text>
        <r>
          <rPr>
            <sz val="10"/>
            <rFont val="Arial"/>
            <family val="2"/>
          </rPr>
          <t xml:space="preserve">Blue = hardcoded assumption. See Notes tab for management-guidance vs. analyst-assumption source split.</t>
        </r>
      </text>
    </comment>
    <comment ref="K9" authorId="0">
      <text>
        <r>
          <rPr>
            <sz val="10"/>
            <rFont val="Arial"/>
            <family val="2"/>
          </rPr>
          <t xml:space="preserve">Blue = hardcoded assumption. See Notes tab for management-guidance vs. analyst-assumption source split.</t>
        </r>
      </text>
    </comment>
    <comment ref="L4" authorId="0">
      <text>
        <r>
          <rPr>
            <sz val="10"/>
            <rFont val="Arial"/>
            <family val="2"/>
          </rPr>
          <t xml:space="preserve">Blue = hardcoded assumption. See Notes tab for management-guidance vs. analyst-assumption source split.</t>
        </r>
      </text>
    </comment>
    <comment ref="L8" authorId="0">
      <text>
        <r>
          <rPr>
            <sz val="10"/>
            <rFont val="Arial"/>
            <family val="2"/>
          </rPr>
          <t xml:space="preserve">Blue = hardcoded assumption. See Notes tab for management-guidance vs. analyst-assumption source split.</t>
        </r>
      </text>
    </comment>
    <comment ref="L9" authorId="0">
      <text>
        <r>
          <rPr>
            <sz val="10"/>
            <rFont val="Arial"/>
            <family val="2"/>
          </rPr>
          <t xml:space="preserve">Blue = hardcoded assumption. See Notes tab for management-guidance vs. analyst-assumption source split.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FY24A-FY26A: reported aggregates (Total Assets ₹1,914/2,101/4,722 Cr; Equity ₹545/493/2,572 Cr; Borrowings ₹478/619/664 Cr) are per Ather Energy Ltd standalone accounts (Screener.in, accessed Sep-2026). The granular Ind-AS line splits below (PPE/CWIP/ROU/intangibles, receivables/inventory/payables from disclosed day-ratios, cash vs. investments vs. other assets/liabilities) are modeled estimates — Ather does not disclose this level of detail publicly — constructed to foot exactly to the reported Total Assets / Total Equity / Total Liabilities each year. FY26A cash &amp; bank balances are large because ~₹2,626 Cr of fresh IPO proceeds (May-2025) had not yet been fully deployed as of Mar-2026.</t>
        </r>
      </text>
    </comment>
    <comment ref="B78" authorId="0">
      <text>
        <r>
          <rPr>
            <sz val="10"/>
            <rFont val="Arial"/>
            <family val="2"/>
          </rPr>
          <t xml:space="preserve">FY24A-26A cash capex derived from reported CFO and Free Cash Flow (Capex = CFO − FCF) per Screener.in cash flow statement.</t>
        </r>
      </text>
    </comment>
    <comment ref="C20" authorId="0">
      <text>
        <r>
          <rPr>
            <sz val="10"/>
            <rFont val="Arial"/>
            <family val="2"/>
          </rPr>
          <t xml:space="preserve">Linked to the Cash Flow Statement's closing-cash chain (CFS!C35) so the Cash Check ties to zero. Other bank balances (row 21) is the offsetting plug within the same total modeled liquidity pool.</t>
        </r>
      </text>
    </comment>
    <comment ref="E31" authorId="0">
      <text>
        <r>
          <rPr>
            <sz val="10"/>
            <rFont val="Arial"/>
            <family val="2"/>
          </rPr>
          <t xml:space="preserve">Jul-2026 QIP: 1,08,15,307 shares at ₹1,202 = ~₹1,300 Cr. Face value component (₹10.8 Cr) hits Share capital; premium (~₹1,289 Cr) hits Other equity in FY27E only. See Notes tab.</t>
        </r>
      </text>
    </comment>
    <comment ref="E65" authorId="0">
      <text>
        <r>
          <rPr>
            <sz val="10"/>
            <rFont val="Arial"/>
            <family val="2"/>
          </rPr>
          <t xml:space="preserve">FY27E-29E day-count assumptions (blue inputs), calibrated to FY26A actuals and held broadly flat / gently improving. See Notes tab.</t>
        </r>
      </text>
    </comment>
    <comment ref="E78" authorId="0">
      <text>
        <r>
          <rPr>
            <sz val="10"/>
            <rFont val="Arial"/>
            <family val="2"/>
          </rPr>
          <t xml:space="preserve">Capex/revenue assumption: 13.5% FY27E / 10.0% FY28E / 7.0% FY29E, reflecting Factory 3.0 (Chhatrapati Sambhajinagar) build-out tapering after phase-1 commissioning. See Notes tab.</t>
        </r>
      </text>
    </comment>
    <comment ref="E95" authorId="0">
      <text>
        <r>
          <rPr>
            <sz val="10"/>
            <rFont val="Arial"/>
            <family val="2"/>
          </rPr>
          <t xml:space="preserve">Base case assumes modest net debt repayment each year, funded by post-QIP liquidity rather than the company needing to raise fresh debt. See Notes tab.</t>
        </r>
      </text>
    </comment>
    <comment ref="E103" authorId="0">
      <text>
        <r>
          <rPr>
            <sz val="10"/>
            <rFont val="Arial"/>
            <family val="2"/>
          </rPr>
          <t xml:space="preserve">Overrides the template's trailing 3-yr AVERAGE(B103:D103) mechanism: FY24A's other income was negative (fair-value/forex loss, not treasury income), which would distort the average to a misleading ~-1%. A clean ~6% yield on cash &amp; liquid investments is used instead per the Notes tab.</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FY24A-26A reported Cash Flow from Operations (Screener.in standalone cash flow statement). Since Ather paid no cash tax in these years, 'Cash generated from operations' and 'Cash flow from operations' are set equal (Taxes paid = 0).</t>
        </r>
      </text>
    </comment>
    <comment ref="B24" authorId="0">
      <text>
        <r>
          <rPr>
            <sz val="10"/>
            <rFont val="Arial"/>
            <family val="2"/>
          </rPr>
          <t xml:space="preserve">FY24A-26A reported Cash Flow from Investing (Screener.in). FY26A's large outflow mostly reflects ~₹2,626 Cr of fresh IPO proceeds (received via financing) being redeployed into mutual funds / fixed deposits, not core capex.</t>
        </r>
      </text>
    </comment>
    <comment ref="B31" authorId="0">
      <text>
        <r>
          <rPr>
            <sz val="10"/>
            <rFont val="Arial"/>
            <family val="2"/>
          </rPr>
          <t xml:space="preserve">FY24A-26A reported Cash Flow from Financing (Screener.in). FY26A includes ~₹2,626 Cr fresh IPO issue proceeds (May-2025) net of debt movements and lease/interest payments.</t>
        </r>
      </text>
    </comment>
    <comment ref="E30" authorId="0">
      <text>
        <r>
          <rPr>
            <sz val="10"/>
            <rFont val="Arial"/>
            <family val="2"/>
          </rPr>
          <t xml:space="preserve">Jul-2026 QIP gross proceeds (~₹1,300 Cr), the cash-flow counterpart to the +₹10.8 Cr Share capital / +₹1,289.2 Cr Other equity booked on the Balance Sheet in FY27E. See Notes tab.</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26" authorId="0">
      <text>
        <r>
          <rPr>
            <sz val="10"/>
            <rFont val="Arial"/>
            <family val="2"/>
          </rPr>
          <t xml:space="preserve">EV/Sales is the standard cross-check for a growth-stage, still-loss-making EV OEM where forward P/E breaks down. 3.5x sits toward the low end of the peer range to reflect the more competitive/margin-compressed Bear scenario.</t>
        </r>
      </text>
    </comment>
    <comment ref="E11" authorId="0">
      <text>
        <r>
          <rPr>
            <sz val="10"/>
            <rFont val="Arial"/>
            <family val="2"/>
          </rPr>
          <t xml:space="preserve">Simplified standalone EPS build for the Scenario Valuation sensitivity ONLY (independent of the main 3-statement Base case): FY29E Revenue = FY26A x (1+3yr avg growth)^3; EBITDA = Revenue x EBITDA margin; less D&amp;A (4.5% of revenue) and interest (9% x FY26A debt), plus other income (6% x FY26A liquidity); 25% tax if positive; divided by FY27E diluted shares. This intentionally simpler mechanic mirrors the template's 'Scenario Valuation' approach for CERA, adapted for Ather.</t>
        </r>
      </text>
    </comment>
    <comment ref="G11" authorId="0">
      <text>
        <r>
          <rPr>
            <sz val="10"/>
            <rFont val="Arial"/>
            <family val="2"/>
          </rPr>
          <t xml:space="preserve">Bear-case FY29E EPS is likely negative or near zero given continued losses, making forward P/E not meaningful (NM). See the EV/Sales cross-check block below (rows 25-32) for the Bear-case valuation instead.</t>
        </r>
      </text>
    </comment>
  </commentList>
</comments>
</file>

<file path=xl/sharedStrings.xml><?xml version="1.0" encoding="utf-8"?>
<sst xmlns="http://schemas.openxmlformats.org/spreadsheetml/2006/main" count="366" uniqueCount="272">
  <si>
    <t xml:space="preserve">Ather Energy Limited — Annual P&amp;L, Drivers &amp; Forecast</t>
  </si>
  <si>
    <t xml:space="preserve">STEP 2  |  Build the annual forecast from operating assumptions</t>
  </si>
  <si>
    <t xml:space="preserve">Particulars</t>
  </si>
  <si>
    <t xml:space="preserve">FY24A</t>
  </si>
  <si>
    <t xml:space="preserve">FY25A</t>
  </si>
  <si>
    <t xml:space="preserve">FY26A</t>
  </si>
  <si>
    <t xml:space="preserve">FY27E</t>
  </si>
  <si>
    <t xml:space="preserve">FY28E</t>
  </si>
  <si>
    <t xml:space="preserve">FY29E</t>
  </si>
  <si>
    <t xml:space="preserve">Forecast Assumptions</t>
  </si>
  <si>
    <t xml:space="preserve">Revenue from operations</t>
  </si>
  <si>
    <t xml:space="preserve">Revenue growth</t>
  </si>
  <si>
    <t xml:space="preserve">Other income</t>
  </si>
  <si>
    <t xml:space="preserve">Materials / revenue</t>
  </si>
  <si>
    <t xml:space="preserve">Total income</t>
  </si>
  <si>
    <t xml:space="preserve">Purchases / revenue</t>
  </si>
  <si>
    <t xml:space="preserve">Inventory change / revenue</t>
  </si>
  <si>
    <t xml:space="preserve">Employee-cost / revenue</t>
  </si>
  <si>
    <t xml:space="preserve">Other expenses / revenue</t>
  </si>
  <si>
    <t xml:space="preserve">Operating Costs</t>
  </si>
  <si>
    <t xml:space="preserve">Tax rate</t>
  </si>
  <si>
    <t xml:space="preserve">Materials consumed</t>
  </si>
  <si>
    <t xml:space="preserve">Dividend payout</t>
  </si>
  <si>
    <t xml:space="preserve">Purchases of stock-in-trade</t>
  </si>
  <si>
    <t xml:space="preserve">Changes in inventories</t>
  </si>
  <si>
    <t xml:space="preserve">Exceptional items</t>
  </si>
  <si>
    <t xml:space="preserve">Employee expenses</t>
  </si>
  <si>
    <t xml:space="preserve">Other expenses</t>
  </si>
  <si>
    <t xml:space="preserve">EBITDA excluding other income</t>
  </si>
  <si>
    <t xml:space="preserve">EBITDA margin</t>
  </si>
  <si>
    <t xml:space="preserve">Depreciation and amortisation</t>
  </si>
  <si>
    <t xml:space="preserve">EBIT including other income</t>
  </si>
  <si>
    <t xml:space="preserve">Finance costs</t>
  </si>
  <si>
    <t xml:space="preserve">PBT before exceptional items</t>
  </si>
  <si>
    <t xml:space="preserve">Profit before tax</t>
  </si>
  <si>
    <t xml:space="preserve">Tax expense</t>
  </si>
  <si>
    <t xml:space="preserve">Profit after tax</t>
  </si>
  <si>
    <t xml:space="preserve">EPS (₹ / share)</t>
  </si>
  <si>
    <t xml:space="preserve">NM</t>
  </si>
  <si>
    <t xml:space="preserve">Diluted shares (cr)</t>
  </si>
  <si>
    <t xml:space="preserve">Dividend Payout</t>
  </si>
  <si>
    <t xml:space="preserve">P/L Transferred to Balance Sheet</t>
  </si>
  <si>
    <t xml:space="preserve">PAT as per Audited Statement</t>
  </si>
  <si>
    <t xml:space="preserve">P&amp;L Check</t>
  </si>
  <si>
    <t xml:space="preserve">Ather Energy Limited — Balance Sheet &amp; Supporting Schedules</t>
  </si>
  <si>
    <t xml:space="preserve">STEP 3  |  Build working capital, fixed assets, debt and equity schedules</t>
  </si>
  <si>
    <t xml:space="preserve">Non-current Assets</t>
  </si>
  <si>
    <t xml:space="preserve">PPE</t>
  </si>
  <si>
    <t xml:space="preserve">CWIP</t>
  </si>
  <si>
    <t xml:space="preserve">Investment property</t>
  </si>
  <si>
    <t xml:space="preserve">ROU assets</t>
  </si>
  <si>
    <t xml:space="preserve">Intangible assets</t>
  </si>
  <si>
    <t xml:space="preserve">Investment in subsidiaries</t>
  </si>
  <si>
    <t xml:space="preserve">Other non-current investments</t>
  </si>
  <si>
    <t xml:space="preserve">Other non-current financial assets</t>
  </si>
  <si>
    <t xml:space="preserve">Other non-current assets</t>
  </si>
  <si>
    <t xml:space="preserve">Total non-current assets</t>
  </si>
  <si>
    <t xml:space="preserve">Current Assets</t>
  </si>
  <si>
    <t xml:space="preserve">Inventories</t>
  </si>
  <si>
    <t xml:space="preserve">Current investments</t>
  </si>
  <si>
    <t xml:space="preserve">Trade receivables</t>
  </si>
  <si>
    <t xml:space="preserve">Cash and cash equivalents</t>
  </si>
  <si>
    <t xml:space="preserve">Other bank balances</t>
  </si>
  <si>
    <t xml:space="preserve">Other current financial assets</t>
  </si>
  <si>
    <t xml:space="preserve">Other current assets</t>
  </si>
  <si>
    <t xml:space="preserve">Current tax assets</t>
  </si>
  <si>
    <t xml:space="preserve">Total current assets</t>
  </si>
  <si>
    <t xml:space="preserve">Total Assets</t>
  </si>
  <si>
    <t xml:space="preserve">Equity</t>
  </si>
  <si>
    <t xml:space="preserve">Share capital</t>
  </si>
  <si>
    <t xml:space="preserve">Other equity</t>
  </si>
  <si>
    <t xml:space="preserve">Total equity</t>
  </si>
  <si>
    <t xml:space="preserve">Non-current Liabilities</t>
  </si>
  <si>
    <t xml:space="preserve">Non-current lease liabilities</t>
  </si>
  <si>
    <t xml:space="preserve">Other non-current financial liabilities</t>
  </si>
  <si>
    <t xml:space="preserve">Non-current provisions</t>
  </si>
  <si>
    <t xml:space="preserve">Deferred tax liabilities</t>
  </si>
  <si>
    <t xml:space="preserve">Total non-current liabilities</t>
  </si>
  <si>
    <t xml:space="preserve">Current Liabilities</t>
  </si>
  <si>
    <t xml:space="preserve">Current borrowings</t>
  </si>
  <si>
    <t xml:space="preserve">Current lease liabilities</t>
  </si>
  <si>
    <t xml:space="preserve">Total trade payables</t>
  </si>
  <si>
    <t xml:space="preserve">Other current financial liabilities</t>
  </si>
  <si>
    <t xml:space="preserve">Other current liabilities</t>
  </si>
  <si>
    <t xml:space="preserve">Current provisions</t>
  </si>
  <si>
    <t xml:space="preserve">Current tax liabilities</t>
  </si>
  <si>
    <t xml:space="preserve">Total current liabilities</t>
  </si>
  <si>
    <t xml:space="preserve">Total liabilities</t>
  </si>
  <si>
    <t xml:space="preserve">Total equity and liabilities</t>
  </si>
  <si>
    <t xml:space="preserve">Balance Sheet Check</t>
  </si>
  <si>
    <t xml:space="preserve">Working Capital Schedule</t>
  </si>
  <si>
    <t xml:space="preserve">Receivable days</t>
  </si>
  <si>
    <t xml:space="preserve">Inventory days</t>
  </si>
  <si>
    <t xml:space="preserve">Payable days</t>
  </si>
  <si>
    <t xml:space="preserve">Other current assets / revenue</t>
  </si>
  <si>
    <t xml:space="preserve">Other current liabilities / revenue</t>
  </si>
  <si>
    <t xml:space="preserve">Net operating working capital</t>
  </si>
  <si>
    <t xml:space="preserve">NWC days</t>
  </si>
  <si>
    <t xml:space="preserve">Fixed Asset / Depreciation Schedule</t>
  </si>
  <si>
    <t xml:space="preserve">Opening PPE</t>
  </si>
  <si>
    <t xml:space="preserve">Opening CWIP</t>
  </si>
  <si>
    <t xml:space="preserve">Cash capex</t>
  </si>
  <si>
    <t xml:space="preserve">CWIP commissioned</t>
  </si>
  <si>
    <t xml:space="preserve">Current capex capitalised</t>
  </si>
  <si>
    <t xml:space="preserve">Closing PPE</t>
  </si>
  <si>
    <t xml:space="preserve">Closing CWIP</t>
  </si>
  <si>
    <t xml:space="preserve">PPE depreciation</t>
  </si>
  <si>
    <t xml:space="preserve">Dep %</t>
  </si>
  <si>
    <t xml:space="preserve">Total D&amp;A</t>
  </si>
  <si>
    <t xml:space="preserve">Closing investment property</t>
  </si>
  <si>
    <t xml:space="preserve">Closing ROU assets</t>
  </si>
  <si>
    <t xml:space="preserve">Closing intangibles</t>
  </si>
  <si>
    <t xml:space="preserve">Debt / Finance-Cost Schedule</t>
  </si>
  <si>
    <t xml:space="preserve">Opening borrowings</t>
  </si>
  <si>
    <t xml:space="preserve">Closing borrowings</t>
  </si>
  <si>
    <t xml:space="preserve">Debt repayment</t>
  </si>
  <si>
    <t xml:space="preserve">Cash interest rate</t>
  </si>
  <si>
    <t xml:space="preserve">Finance costs including leases</t>
  </si>
  <si>
    <t xml:space="preserve">Other Income / Liquidity Schedule</t>
  </si>
  <si>
    <t xml:space="preserve">Opening cash + current investments + bank balances</t>
  </si>
  <si>
    <t xml:space="preserve">Other-income yield</t>
  </si>
  <si>
    <t xml:space="preserve">Ather Energy Limited — Cash Flow Statement</t>
  </si>
  <si>
    <t xml:space="preserve">STEP 4  |  Convert profit and balance-sheet movements into cash</t>
  </si>
  <si>
    <t xml:space="preserve">Less: other income</t>
  </si>
  <si>
    <t xml:space="preserve">Operating profit before working-capital changes</t>
  </si>
  <si>
    <t xml:space="preserve">Change in inventories</t>
  </si>
  <si>
    <t xml:space="preserve">Change in trade receivables</t>
  </si>
  <si>
    <t xml:space="preserve">Change in other current assets</t>
  </si>
  <si>
    <t xml:space="preserve">Change in trade payables</t>
  </si>
  <si>
    <t xml:space="preserve">Change in other current liabilities</t>
  </si>
  <si>
    <t xml:space="preserve">Other operating adjustments</t>
  </si>
  <si>
    <t xml:space="preserve">Cash generated from operations</t>
  </si>
  <si>
    <t xml:space="preserve">Taxes paid</t>
  </si>
  <si>
    <t xml:space="preserve">Cash flow from operations</t>
  </si>
  <si>
    <t xml:space="preserve">Capital expenditure</t>
  </si>
  <si>
    <t xml:space="preserve">Other income received</t>
  </si>
  <si>
    <t xml:space="preserve">Other investing flows</t>
  </si>
  <si>
    <t xml:space="preserve">Cash flow from investing</t>
  </si>
  <si>
    <t xml:space="preserve">Change in borrowings</t>
  </si>
  <si>
    <t xml:space="preserve">Dividends paid</t>
  </si>
  <si>
    <t xml:space="preserve">Finance costs paid</t>
  </si>
  <si>
    <t xml:space="preserve">Other financing flows</t>
  </si>
  <si>
    <t xml:space="preserve">Cash flow from financing</t>
  </si>
  <si>
    <t xml:space="preserve">Net change in cash</t>
  </si>
  <si>
    <t xml:space="preserve">Opening cash</t>
  </si>
  <si>
    <t xml:space="preserve">Closing cash</t>
  </si>
  <si>
    <t xml:space="preserve">Cash Check</t>
  </si>
  <si>
    <t xml:space="preserve">Free Cash Flow</t>
  </si>
  <si>
    <t xml:space="preserve">FCF / EBITDA</t>
  </si>
  <si>
    <t xml:space="preserve">Ather Energy Limited — Management Guidance &amp; Forecast Logic</t>
  </si>
  <si>
    <t xml:space="preserve">STEP 1  |  Separate management guidance from analyst assumptions</t>
  </si>
  <si>
    <t xml:space="preserve">Driver</t>
  </si>
  <si>
    <t xml:space="preserve">Type</t>
  </si>
  <si>
    <t xml:space="preserve">Management / Source Context</t>
  </si>
  <si>
    <t xml:space="preserve">Model Treatment</t>
  </si>
  <si>
    <t xml:space="preserve">FY27 Base</t>
  </si>
  <si>
    <t xml:space="preserve">FY28/FY29 View</t>
  </si>
  <si>
    <t xml:space="preserve">Source</t>
  </si>
  <si>
    <t xml:space="preserve">Analyst assumption</t>
  </si>
  <si>
    <t xml:space="preserve">No formal FY27 revenue guidance issued. Q1 FY27 (Jun-26) revenue grew ~59% YoY on Rizta/450-series momentum; FY26A grew 63% YoY.</t>
  </si>
  <si>
    <t xml:space="preserve">40% FY27E moderating to 32%/26% as the base scales and category penetration normalises.</t>
  </si>
  <si>
    <t xml:space="preserve">40%</t>
  </si>
  <si>
    <t xml:space="preserve">32% / 26% analyst assumptions</t>
  </si>
  <si>
    <t xml:space="preserve">Q1 FY27 (Jun-26) results commentary</t>
  </si>
  <si>
    <t xml:space="preserve">Output cross-check</t>
  </si>
  <si>
    <t xml:space="preserve">EBITDA margin improved from -46% (Q4 FY24) to ~-3% (Q1 FY27); management has spoken to a path toward EBITDA breakeven.</t>
  </si>
  <si>
    <t xml:space="preserve">Calculated — cost ratios below drive it, not set directly.</t>
  </si>
  <si>
    <t xml:space="preserve">Calculated (~-2%)</t>
  </si>
  <si>
    <t xml:space="preserve">Cost-ratio driven (~+4% / +8%)</t>
  </si>
  <si>
    <t xml:space="preserve">Q1 FY27 earnings call</t>
  </si>
  <si>
    <t xml:space="preserve">Materials / Purchases / Inventory change</t>
  </si>
  <si>
    <t xml:space="preserve">Blended accounting gross margin was ~19% in FY26A vs. company's own 'adjusted gross margin' of 22% (Q2 FY26, ex one-offs).</t>
  </si>
  <si>
    <t xml:space="preserve">COGS ratio improves via LFP-cell localisation &amp; value engineering: implied gross margin 21%→23%→25%.</t>
  </si>
  <si>
    <t xml:space="preserve">79% of revenue</t>
  </si>
  <si>
    <t xml:space="preserve">77% / 75% of revenue</t>
  </si>
  <si>
    <t xml:space="preserve">Q2 FY26 results, FY26A annual accounts</t>
  </si>
  <si>
    <t xml:space="preserve">Employee costs</t>
  </si>
  <si>
    <t xml:space="preserve">Headcount scaling for Factory 3.0 ramp-up and retail network expansion.</t>
  </si>
  <si>
    <t xml:space="preserve">Employee cost/revenue eases from ~11% (FY26A) to ~9.5% (FY29E) as revenue outgrows headcount additions.</t>
  </si>
  <si>
    <t xml:space="preserve">11.0% of revenue</t>
  </si>
  <si>
    <t xml:space="preserve">10.0% / 9.5% of revenue</t>
  </si>
  <si>
    <t xml:space="preserve">Analyst estimate, no explicit guidance</t>
  </si>
  <si>
    <t xml:space="preserve">Capex</t>
  </si>
  <si>
    <t xml:space="preserve">Management guidance</t>
  </si>
  <si>
    <t xml:space="preserve">Factory 3.0 (Chhatrapati Sambhajinagar, Maharashtra) guided at ~₹927 Cr multi-year capex for phase 1+2, taking installed capacity to 1.42mn E2Ws.</t>
  </si>
  <si>
    <t xml:space="preserve">Capex intensity highest FY27E-28E while the plant is built, then tapers.</t>
  </si>
  <si>
    <t xml:space="preserve">₹720 Cr (~14% of revenue)</t>
  </si>
  <si>
    <t xml:space="preserve">₹680 Cr / ₹600 Cr</t>
  </si>
  <si>
    <t xml:space="preserve">IPO prospectus, Apr-2025; company capacity guidance</t>
  </si>
  <si>
    <t xml:space="preserve">Working capital</t>
  </si>
  <si>
    <t xml:space="preserve">No directly comparable forecast-day guidance published.</t>
  </si>
  <si>
    <t xml:space="preserve">Closing-balance days calibrated to FY26A actuals (Receivable ~1d / Inventory ~35d / Payable ~109d), held broadly flat.</t>
  </si>
  <si>
    <t xml:space="preserve">1d / 34d / 108d</t>
  </si>
  <si>
    <t xml:space="preserve">Gradual improvement to 32d / 110d by FY29E</t>
  </si>
  <si>
    <t xml:space="preserve">FY26A annual accounts</t>
  </si>
  <si>
    <t xml:space="preserve">FY26A other income of ₹146 Cr includes treasury income on ~₹3,000 Cr of post-IPO cash &amp; liquid investments.</t>
  </si>
  <si>
    <t xml:space="preserve">Opening liquidity × ~6% yield proxy (debt mutual funds / FDs).</t>
  </si>
  <si>
    <t xml:space="preserve">6.0%</t>
  </si>
  <si>
    <t xml:space="preserve">6.0% / 6.0%</t>
  </si>
  <si>
    <t xml:space="preserve">FY26A annual accounts, treasury policy inference</t>
  </si>
  <si>
    <t xml:space="preserve">No material one-off items identified in recent quarters.</t>
  </si>
  <si>
    <t xml:space="preserve">Set to zero throughout the forecast.</t>
  </si>
  <si>
    <t xml:space="preserve">Zero</t>
  </si>
  <si>
    <t xml:space="preserve">Quarterly results review</t>
  </si>
  <si>
    <t xml:space="preserve">Capital raise (subsequent event)</t>
  </si>
  <si>
    <t xml:space="preserve">Confirmed corporate action</t>
  </si>
  <si>
    <t xml:space="preserve">QIP of 1,08,15,307 equity shares at ₹1,202/share (~₹1,300 Cr) allotted 15-Jul-2026, post the FY26A balance sheet date.</t>
  </si>
  <si>
    <t xml:space="preserve">Modeled as a one-time FY27E equity infusion (+₹1,300 Cr cash &amp; investments, +10.8 Cr shares), which materially de-risks the Factory 3.0 funding plan.</t>
  </si>
  <si>
    <t xml:space="preserve">+₹1,300 Cr equity</t>
  </si>
  <si>
    <t xml:space="preserve">No further dilution assumed</t>
  </si>
  <si>
    <t xml:space="preserve">BSE filing, Ather Energy Ltd, 15-Jul-2026</t>
  </si>
  <si>
    <t xml:space="preserve">Tax</t>
  </si>
  <si>
    <t xml:space="preserve">~₹3,000+ Cr of accumulated tax losses carried forward (simplification: not separately tracked here).</t>
  </si>
  <si>
    <t xml:space="preserve">25% effective rate applied only once PBT turns positive (MAX(0,PBT) basis) — conservative, likely overstates near-term cash tax given carry-forwards.</t>
  </si>
  <si>
    <t xml:space="preserve">25% (if PBT&gt;0)</t>
  </si>
  <si>
    <t xml:space="preserve">Standard Indian corporate tax rate; simplification flagged</t>
  </si>
  <si>
    <t xml:space="preserve">Valuation</t>
  </si>
  <si>
    <t xml:space="preserve">Teaching / analyst assumption</t>
  </si>
  <si>
    <t xml:space="preserve">Ather is still loss-making through most of the forecast, so a pure forward P/E breaks down in the Bear case.</t>
  </si>
  <si>
    <t xml:space="preserve">Base/Bull: FY29E EPS × target P/E. Bear: EV/Sales cross-check shown alongside since FY29E EPS may be negative or near zero.</t>
  </si>
  <si>
    <t xml:space="preserve">FY29E EPS / EV-Sales</t>
  </si>
  <si>
    <t xml:space="preserve">Probability-weighted blend</t>
  </si>
  <si>
    <t xml:space="preserve">Classroom method, adapted for a pre-profit issuer</t>
  </si>
  <si>
    <t xml:space="preserve">Ather Energy Limited — Model Checks &amp; Reconciliation</t>
  </si>
  <si>
    <t xml:space="preserve">STEP 5  |  Make the three statements prove that they are linked</t>
  </si>
  <si>
    <t xml:space="preserve">Check</t>
  </si>
  <si>
    <t xml:space="preserve">All three checks must be exactly zero. If a check fails, trace the linkage—never plug the difference.</t>
  </si>
  <si>
    <t xml:space="preserve">Ather Energy Limited — Annual Three-Way Model Summary &amp; Ratios</t>
  </si>
  <si>
    <t xml:space="preserve">STEP 6  |  Read profitability, cash conversion, returns and financial position</t>
  </si>
  <si>
    <t xml:space="preserve">Annual Three-Way Summary</t>
  </si>
  <si>
    <t xml:space="preserve">Metric</t>
  </si>
  <si>
    <t xml:space="preserve">Revenue (₹ cr)</t>
  </si>
  <si>
    <t xml:space="preserve">EBITDA (₹ cr)</t>
  </si>
  <si>
    <t xml:space="preserve">PAT (₹ cr)</t>
  </si>
  <si>
    <t xml:space="preserve">PAT growth</t>
  </si>
  <si>
    <t xml:space="preserve">CFO (₹ cr)</t>
  </si>
  <si>
    <t xml:space="preserve">Free cash flow (₹ cr)</t>
  </si>
  <si>
    <t xml:space="preserve">Cash (₹ cr)</t>
  </si>
  <si>
    <t xml:space="preserve">Net debt / (cash) (₹ cr)</t>
  </si>
  <si>
    <t xml:space="preserve">ROE</t>
  </si>
  <si>
    <t xml:space="preserve">ROCE</t>
  </si>
  <si>
    <t xml:space="preserve">CFO / EBITDA</t>
  </si>
  <si>
    <t xml:space="preserve">Ather Energy Limited — Bear / Base / Bull Scenario Valuation</t>
  </si>
  <si>
    <t xml:space="preserve">STEP 7  |  Convert scenario EPS into probability-weighted value</t>
  </si>
  <si>
    <t xml:space="preserve">Market &amp; Model Inputs</t>
  </si>
  <si>
    <t xml:space="preserve">Current price</t>
  </si>
  <si>
    <t xml:space="preserve">02-Sep-2026 close (BSE); +130% YTD 2026</t>
  </si>
  <si>
    <t xml:space="preserve">Target year</t>
  </si>
  <si>
    <t xml:space="preserve">Bear / Base / Bull Valuation</t>
  </si>
  <si>
    <t xml:space="preserve">Scenario</t>
  </si>
  <si>
    <t xml:space="preserve">Probability</t>
  </si>
  <si>
    <t xml:space="preserve">FY29 Revenue Growth (3-yr avg)</t>
  </si>
  <si>
    <t xml:space="preserve">FY29 EBITDA Margin</t>
  </si>
  <si>
    <t xml:space="preserve">FY29 EPS</t>
  </si>
  <si>
    <t xml:space="preserve">Target P/E</t>
  </si>
  <si>
    <t xml:space="preserve">Target Price</t>
  </si>
  <si>
    <t xml:space="preserve">Upside / (Downside)</t>
  </si>
  <si>
    <t xml:space="preserve">Bear</t>
  </si>
  <si>
    <t xml:space="preserve">Base</t>
  </si>
  <si>
    <t xml:space="preserve">Bull</t>
  </si>
  <si>
    <t xml:space="preserve">Probability sum</t>
  </si>
  <si>
    <t xml:space="preserve">Probability-weighted target price</t>
  </si>
  <si>
    <t xml:space="preserve">Expected upside / (downside)</t>
  </si>
  <si>
    <t xml:space="preserve">Each scenario changes revenue growth and EBITDA margin, calculates EPS, then applies a target P/E. This is intentionally simpler than an EV/EBITDA bridge. Working-capital and balance-sheet scenarios remain in the main model assumptions.</t>
  </si>
  <si>
    <t xml:space="preserve">Bear-case cross-check — EV/Sales (forward P/E is NM when FY29E EPS ≤ 0)</t>
  </si>
  <si>
    <t xml:space="preserve">Bear FY29E Revenue (₹ Cr)</t>
  </si>
  <si>
    <t xml:space="preserve">Applied EV/Sales multiple (peer range ~3.5x–6x for growth-stage E2W OEMs)</t>
  </si>
  <si>
    <t xml:space="preserve">Implied EV (₹ Cr)</t>
  </si>
  <si>
    <t xml:space="preserve">Less: FY29E net debt / (net cash), ₹ Cr (Base-case B/S trajectory used as a proxy for Bear)</t>
  </si>
  <si>
    <t xml:space="preserve">Implied equity value (₹ Cr)</t>
  </si>
  <si>
    <t xml:space="preserve">Implied price / share (₹)</t>
  </si>
  <si>
    <t xml:space="preserve">Implied upside / (downside) vs. current price</t>
  </si>
</sst>
</file>

<file path=xl/styles.xml><?xml version="1.0" encoding="utf-8"?>
<styleSheet xmlns="http://schemas.openxmlformats.org/spreadsheetml/2006/main">
  <numFmts count="7">
    <numFmt numFmtId="164" formatCode="General"/>
    <numFmt numFmtId="165" formatCode="#,##0.0;[RED]\(#,##0.0\);\-"/>
    <numFmt numFmtId="166" formatCode="0.0%"/>
    <numFmt numFmtId="167" formatCode="0.0;[RED]\(0.0\);0.0"/>
    <numFmt numFmtId="168" formatCode="#,##0.00"/>
    <numFmt numFmtId="169" formatCode="0%"/>
    <numFmt numFmtId="170" formatCode="0.00%"/>
  </numFmts>
  <fonts count="12">
    <font>
      <sz val="11"/>
      <name val="Calibri"/>
      <family val="0"/>
      <charset val="1"/>
    </font>
    <font>
      <sz val="10"/>
      <name val="Arial"/>
      <family val="0"/>
    </font>
    <font>
      <sz val="10"/>
      <name val="Arial"/>
      <family val="0"/>
    </font>
    <font>
      <sz val="10"/>
      <name val="Arial"/>
      <family val="0"/>
    </font>
    <font>
      <b val="true"/>
      <sz val="15"/>
      <color rgb="FFFFFFFF"/>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sz val="10"/>
      <color rgb="FF0000FF"/>
      <name val="Arial"/>
      <family val="0"/>
      <charset val="1"/>
    </font>
    <font>
      <sz val="10"/>
      <name val="Arial"/>
      <family val="2"/>
    </font>
    <font>
      <b val="true"/>
      <sz val="10"/>
      <color rgb="FF17365D"/>
      <name val="Arial"/>
      <family val="0"/>
      <charset val="1"/>
    </font>
    <font>
      <i val="true"/>
      <sz val="10"/>
      <color rgb="FF595959"/>
      <name val="Arial"/>
      <family val="0"/>
      <charset val="1"/>
    </font>
  </fonts>
  <fills count="8">
    <fill>
      <patternFill patternType="none"/>
    </fill>
    <fill>
      <patternFill patternType="gray125"/>
    </fill>
    <fill>
      <patternFill patternType="solid">
        <fgColor rgb="FF17365D"/>
        <bgColor rgb="FF333333"/>
      </patternFill>
    </fill>
    <fill>
      <patternFill patternType="solid">
        <fgColor rgb="FF0F6B78"/>
        <bgColor rgb="FF008080"/>
      </patternFill>
    </fill>
    <fill>
      <patternFill patternType="solid">
        <fgColor rgb="FF1F4E78"/>
        <bgColor rgb="FF17365D"/>
      </patternFill>
    </fill>
    <fill>
      <patternFill patternType="solid">
        <fgColor rgb="FFFCE4D6"/>
        <bgColor rgb="FFFFF2CC"/>
      </patternFill>
    </fill>
    <fill>
      <patternFill patternType="solid">
        <fgColor rgb="FFFFF2CC"/>
        <bgColor rgb="FFFCE4D6"/>
      </patternFill>
    </fill>
    <fill>
      <patternFill patternType="solid">
        <fgColor rgb="FFD9EAF7"/>
        <bgColor rgb="FFD9E2F3"/>
      </patternFill>
    </fill>
  </fills>
  <borders count="21">
    <border diagonalUp="false" diagonalDown="false">
      <left/>
      <right/>
      <top/>
      <bottom/>
      <diagonal/>
    </border>
    <border diagonalUp="false" diagonalDown="false">
      <left style="thin">
        <color rgb="FFB4C6E7"/>
      </left>
      <right style="thin">
        <color rgb="FFD9E2F3"/>
      </right>
      <top style="thin">
        <color rgb="FFB4C6E7"/>
      </top>
      <bottom style="thin">
        <color rgb="FFD9E2F3"/>
      </bottom>
      <diagonal/>
    </border>
    <border diagonalUp="false" diagonalDown="false">
      <left style="thin">
        <color rgb="FFD9E2F3"/>
      </left>
      <right style="thin">
        <color rgb="FFD9E2F3"/>
      </right>
      <top style="thin">
        <color rgb="FFB4C6E7"/>
      </top>
      <bottom style="thin">
        <color rgb="FFD9E2F3"/>
      </bottom>
      <diagonal/>
    </border>
    <border diagonalUp="false" diagonalDown="false">
      <left style="thin">
        <color rgb="FFD9E2F3"/>
      </left>
      <right style="thin">
        <color rgb="FFB4C6E7"/>
      </right>
      <top style="thin">
        <color rgb="FFB4C6E7"/>
      </top>
      <bottom style="thin">
        <color rgb="FFD9E2F3"/>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B4C6E7"/>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style="thin">
        <color rgb="FFB4C6E7"/>
      </right>
      <top style="thin">
        <color rgb="FFD9E2F3"/>
      </top>
      <bottom style="thin">
        <color rgb="FFD9E2F3"/>
      </bottom>
      <diagonal/>
    </border>
    <border diagonalUp="false" diagonalDown="false">
      <left style="thin">
        <color rgb="FFB4C6E7"/>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style="thin">
        <color rgb="FFB4C6E7"/>
      </right>
      <top style="thin">
        <color rgb="FFD9E2F3"/>
      </top>
      <bottom/>
      <diagonal/>
    </border>
    <border diagonalUp="false" diagonalDown="false">
      <left style="thin">
        <color rgb="FFB4C6E7"/>
      </left>
      <right style="thin">
        <color rgb="FFD9E2F3"/>
      </right>
      <top style="thin">
        <color rgb="FFD9E2F3"/>
      </top>
      <bottom style="thin">
        <color rgb="FFB4C6E7"/>
      </bottom>
      <diagonal/>
    </border>
    <border diagonalUp="false" diagonalDown="false">
      <left style="thin">
        <color rgb="FFD9E2F3"/>
      </left>
      <right style="thin">
        <color rgb="FFD9E2F3"/>
      </right>
      <top style="thin">
        <color rgb="FFD9E2F3"/>
      </top>
      <bottom style="thin">
        <color rgb="FFB4C6E7"/>
      </bottom>
      <diagonal/>
    </border>
    <border diagonalUp="false" diagonalDown="false">
      <left style="thin">
        <color rgb="FFD9E2F3"/>
      </left>
      <right style="thin">
        <color rgb="FFB4C6E7"/>
      </right>
      <top style="thin">
        <color rgb="FFD9E2F3"/>
      </top>
      <bottom style="thin">
        <color rgb="FFB4C6E7"/>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top style="thin">
        <color rgb="FFD9E2F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5" fillId="3" borderId="0" xfId="0" applyFont="true" applyBorder="true" applyAlignment="true" applyProtection="true">
      <alignment horizontal="general" vertical="center" textRotation="0" wrapText="false" indent="0" shrinkToFit="false"/>
      <protection locked="true" hidden="false"/>
    </xf>
    <xf numFmtId="164" fontId="5" fillId="4" borderId="1" xfId="0" applyFont="true" applyBorder="true" applyAlignment="true" applyProtection="true">
      <alignment horizontal="general" vertical="center" textRotation="0" wrapText="false" indent="0" shrinkToFit="false"/>
      <protection locked="true" hidden="false"/>
    </xf>
    <xf numFmtId="164" fontId="5" fillId="4" borderId="2" xfId="0" applyFont="true" applyBorder="true" applyAlignment="true" applyProtection="true">
      <alignment horizontal="general" vertical="center" textRotation="0" wrapText="false" indent="0" shrinkToFit="false"/>
      <protection locked="true" hidden="false"/>
    </xf>
    <xf numFmtId="164" fontId="5" fillId="4" borderId="3" xfId="0" applyFont="true" applyBorder="true" applyAlignment="true" applyProtection="true">
      <alignment horizontal="general" vertical="center" textRotation="0" wrapText="false" indent="0" shrinkToFit="false"/>
      <protection locked="true" hidden="false"/>
    </xf>
    <xf numFmtId="164" fontId="5" fillId="4" borderId="4" xfId="0" applyFont="true" applyBorder="true" applyAlignment="true" applyProtection="true">
      <alignment horizontal="general" vertical="center" textRotation="0" wrapText="false" indent="0" shrinkToFit="false"/>
      <protection locked="true" hidden="false"/>
    </xf>
    <xf numFmtId="164" fontId="6" fillId="0" borderId="5" xfId="0" applyFont="true" applyBorder="true" applyAlignment="true" applyProtection="true">
      <alignment horizontal="general" vertical="center" textRotation="0" wrapText="false" indent="0" shrinkToFit="false"/>
      <protection locked="true" hidden="false"/>
    </xf>
    <xf numFmtId="165" fontId="7" fillId="0" borderId="6" xfId="0" applyFont="true" applyBorder="true" applyAlignment="true" applyProtection="true">
      <alignment horizontal="general" vertical="center" textRotation="0" wrapText="false" indent="0" shrinkToFit="false"/>
      <protection locked="true" hidden="false"/>
    </xf>
    <xf numFmtId="165" fontId="6" fillId="5" borderId="6"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6" fontId="8" fillId="6" borderId="0" xfId="0" applyFont="true" applyBorder="false" applyAlignment="true" applyProtection="true">
      <alignment horizontal="general" vertical="center" textRotation="0" wrapText="false" indent="0" shrinkToFit="false"/>
      <protection locked="true" hidden="false"/>
    </xf>
    <xf numFmtId="165" fontId="6" fillId="0" borderId="6" xfId="0" applyFont="true" applyBorder="true" applyAlignment="true" applyProtection="true">
      <alignment horizontal="general" vertical="center" textRotation="0" wrapText="false" indent="0" shrinkToFit="false"/>
      <protection locked="true" hidden="false"/>
    </xf>
    <xf numFmtId="165" fontId="6" fillId="5" borderId="7" xfId="0" applyFont="true" applyBorder="true" applyAlignment="true" applyProtection="true">
      <alignment horizontal="general" vertical="center" textRotation="0" wrapText="false" indent="0" shrinkToFit="false"/>
      <protection locked="true" hidden="false"/>
    </xf>
    <xf numFmtId="166" fontId="6" fillId="0" borderId="6" xfId="0" applyFont="true" applyBorder="true" applyAlignment="true" applyProtection="true">
      <alignment horizontal="general" vertical="center" textRotation="0" wrapText="false" indent="0" shrinkToFit="false"/>
      <protection locked="true" hidden="false"/>
    </xf>
    <xf numFmtId="166" fontId="6" fillId="5" borderId="6" xfId="0" applyFont="true" applyBorder="true" applyAlignment="true" applyProtection="true">
      <alignment horizontal="general" vertical="center" textRotation="0" wrapText="false" indent="0" shrinkToFit="false"/>
      <protection locked="true" hidden="false"/>
    </xf>
    <xf numFmtId="166" fontId="6" fillId="5" borderId="7" xfId="0" applyFont="true" applyBorder="true" applyAlignment="true" applyProtection="true">
      <alignment horizontal="general" vertical="center" textRotation="0" wrapText="false" indent="0" shrinkToFit="false"/>
      <protection locked="true" hidden="false"/>
    </xf>
    <xf numFmtId="164" fontId="6" fillId="0" borderId="8" xfId="0" applyFont="true" applyBorder="true" applyAlignment="true" applyProtection="true">
      <alignment horizontal="general" vertical="center" textRotation="0" wrapText="false" indent="0" shrinkToFit="false"/>
      <protection locked="true" hidden="false"/>
    </xf>
    <xf numFmtId="165" fontId="6" fillId="0" borderId="9" xfId="0" applyFont="true" applyBorder="true" applyAlignment="true" applyProtection="true">
      <alignment horizontal="general" vertical="center" textRotation="0" wrapText="false" indent="0" shrinkToFit="false"/>
      <protection locked="true" hidden="false"/>
    </xf>
    <xf numFmtId="165" fontId="6" fillId="5" borderId="9" xfId="0" applyFont="true" applyBorder="true" applyAlignment="true" applyProtection="true">
      <alignment horizontal="general" vertical="center" textRotation="0" wrapText="false" indent="0" shrinkToFit="false"/>
      <protection locked="true" hidden="false"/>
    </xf>
    <xf numFmtId="165" fontId="6" fillId="5" borderId="10" xfId="0" applyFont="true" applyBorder="true" applyAlignment="true" applyProtection="true">
      <alignment horizontal="general" vertical="center" textRotation="0" wrapText="false" indent="0" shrinkToFit="false"/>
      <protection locked="true" hidden="false"/>
    </xf>
    <xf numFmtId="164" fontId="6" fillId="0" borderId="11" xfId="0" applyFont="true" applyBorder="true" applyAlignment="true" applyProtection="true">
      <alignment horizontal="general" vertical="center" textRotation="0" wrapText="false" indent="0" shrinkToFit="false"/>
      <protection locked="true" hidden="false"/>
    </xf>
    <xf numFmtId="167" fontId="6" fillId="0" borderId="12" xfId="0" applyFont="true" applyBorder="true" applyAlignment="true" applyProtection="true">
      <alignment horizontal="general" vertical="center" textRotation="0" wrapText="false" indent="0" shrinkToFit="false"/>
      <protection locked="true" hidden="false"/>
    </xf>
    <xf numFmtId="167" fontId="6" fillId="5" borderId="12" xfId="0" applyFont="true" applyBorder="true" applyAlignment="true" applyProtection="true">
      <alignment horizontal="general" vertical="center" textRotation="0" wrapText="false" indent="0" shrinkToFit="false"/>
      <protection locked="true" hidden="false"/>
    </xf>
    <xf numFmtId="167" fontId="6" fillId="5" borderId="13" xfId="0" applyFont="true" applyBorder="true" applyAlignment="true" applyProtection="true">
      <alignment horizontal="general" vertical="center" textRotation="0" wrapText="false" indent="0" shrinkToFit="false"/>
      <protection locked="true" hidden="false"/>
    </xf>
    <xf numFmtId="164" fontId="10" fillId="7" borderId="0" xfId="0" applyFont="true" applyBorder="false" applyAlignment="true" applyProtection="true">
      <alignment horizontal="general" vertical="center" textRotation="0" wrapText="false" indent="0" shrinkToFit="false"/>
      <protection locked="true" hidden="false"/>
    </xf>
    <xf numFmtId="165" fontId="10" fillId="7" borderId="0" xfId="0" applyFont="true" applyBorder="false" applyAlignment="true" applyProtection="true">
      <alignment horizontal="general" vertical="center" textRotation="0" wrapText="false" indent="0" shrinkToFit="false"/>
      <protection locked="true" hidden="false"/>
    </xf>
    <xf numFmtId="165" fontId="10" fillId="5"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5" fontId="6" fillId="5" borderId="0" xfId="0" applyFont="true" applyBorder="false" applyAlignment="true" applyProtection="true">
      <alignment horizontal="general" vertical="center" textRotation="0" wrapText="false" indent="0" shrinkToFit="false"/>
      <protection locked="true" hidden="false"/>
    </xf>
    <xf numFmtId="165" fontId="6" fillId="0" borderId="0" xfId="0" applyFont="true" applyBorder="false" applyAlignment="true" applyProtection="true">
      <alignment horizontal="general" vertical="center" textRotation="0" wrapText="false" indent="0" shrinkToFit="false"/>
      <protection locked="true" hidden="false"/>
    </xf>
    <xf numFmtId="167" fontId="6" fillId="0" borderId="0" xfId="0" applyFont="true" applyBorder="false" applyAlignment="true" applyProtection="true">
      <alignment horizontal="general" vertical="center" textRotation="0" wrapText="false" indent="0" shrinkToFit="false"/>
      <protection locked="true" hidden="false"/>
    </xf>
    <xf numFmtId="167" fontId="6" fillId="5" borderId="0" xfId="0" applyFont="true" applyBorder="false" applyAlignment="true" applyProtection="true">
      <alignment horizontal="general" vertical="center" textRotation="0" wrapText="false" indent="0" shrinkToFit="false"/>
      <protection locked="true" hidden="false"/>
    </xf>
    <xf numFmtId="164" fontId="5" fillId="4" borderId="0" xfId="0" applyFont="true" applyBorder="false" applyAlignment="true" applyProtection="true">
      <alignment horizontal="general" vertical="center" textRotation="0" wrapText="false" indent="0" shrinkToFit="false"/>
      <protection locked="true" hidden="false"/>
    </xf>
    <xf numFmtId="165" fontId="5" fillId="4" borderId="0" xfId="0" applyFont="true" applyBorder="false" applyAlignment="true" applyProtection="true">
      <alignment horizontal="general" vertical="center" textRotation="0" wrapText="false" indent="0" shrinkToFit="false"/>
      <protection locked="true" hidden="false"/>
    </xf>
    <xf numFmtId="168" fontId="7" fillId="0" borderId="0" xfId="0" applyFont="true" applyBorder="false" applyAlignment="true" applyProtection="true">
      <alignment horizontal="general" vertical="center" textRotation="0" wrapText="false" indent="0" shrinkToFit="false"/>
      <protection locked="true" hidden="false"/>
    </xf>
    <xf numFmtId="168" fontId="6" fillId="5" borderId="0" xfId="0" applyFont="true" applyBorder="false" applyAlignment="true" applyProtection="true">
      <alignment horizontal="general" vertical="center" textRotation="0" wrapText="false" indent="0" shrinkToFit="false"/>
      <protection locked="true" hidden="false"/>
    </xf>
    <xf numFmtId="169" fontId="10" fillId="7" borderId="0" xfId="0" applyFont="true" applyBorder="false" applyAlignment="true" applyProtection="true">
      <alignment horizontal="general" vertical="center" textRotation="0" wrapText="false" indent="0" shrinkToFit="false"/>
      <protection locked="true" hidden="false"/>
    </xf>
    <xf numFmtId="169" fontId="10" fillId="5" borderId="0" xfId="0" applyFont="true" applyBorder="false" applyAlignment="true" applyProtection="true">
      <alignment horizontal="general" vertical="center" textRotation="0" wrapText="false" indent="0" shrinkToFit="false"/>
      <protection locked="true" hidden="false"/>
    </xf>
    <xf numFmtId="170" fontId="6" fillId="0" borderId="0" xfId="0" applyFont="true" applyBorder="false" applyAlignment="true" applyProtection="true">
      <alignment horizontal="general" vertical="center" textRotation="0" wrapText="false" indent="0" shrinkToFit="false"/>
      <protection locked="true" hidden="false"/>
    </xf>
    <xf numFmtId="170" fontId="7" fillId="5" borderId="0" xfId="0" applyFont="true" applyBorder="false" applyAlignment="true" applyProtection="true">
      <alignment horizontal="general" vertical="center" textRotation="0" wrapText="false" indent="0" shrinkToFit="false"/>
      <protection locked="true" hidden="false"/>
    </xf>
    <xf numFmtId="167" fontId="7"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11" fillId="6" borderId="0" xfId="0" applyFont="true" applyBorder="true" applyAlignment="true" applyProtection="true">
      <alignment horizontal="general" vertical="center" textRotation="0" wrapText="true" indent="0" shrinkToFit="false"/>
      <protection locked="true" hidden="false"/>
    </xf>
    <xf numFmtId="166" fontId="7" fillId="0" borderId="0" xfId="0" applyFont="true" applyBorder="false" applyAlignment="true" applyProtection="true">
      <alignment horizontal="general" vertical="center" textRotation="0" wrapText="false" indent="0" shrinkToFit="false"/>
      <protection locked="true" hidden="false"/>
    </xf>
    <xf numFmtId="166" fontId="6" fillId="0" borderId="0" xfId="0" applyFont="true" applyBorder="false" applyAlignment="true" applyProtection="true">
      <alignment horizontal="general" vertical="center" textRotation="0" wrapText="false" indent="0" shrinkToFit="false"/>
      <protection locked="true" hidden="false"/>
    </xf>
    <xf numFmtId="164" fontId="6" fillId="0" borderId="14" xfId="0" applyFont="true" applyBorder="true" applyAlignment="true" applyProtection="true">
      <alignment horizontal="general" vertical="center" textRotation="0" wrapText="false" indent="0" shrinkToFit="false"/>
      <protection locked="true" hidden="false"/>
    </xf>
    <xf numFmtId="164" fontId="6" fillId="0" borderId="15" xfId="0" applyFont="true" applyBorder="true" applyAlignment="true" applyProtection="true">
      <alignment horizontal="general" vertical="center" textRotation="0" wrapText="false" indent="0" shrinkToFit="false"/>
      <protection locked="true" hidden="false"/>
    </xf>
    <xf numFmtId="164" fontId="6" fillId="0" borderId="16" xfId="0" applyFont="true" applyBorder="true" applyAlignment="true" applyProtection="true">
      <alignment horizontal="general" vertical="center" textRotation="0" wrapText="false" indent="0" shrinkToFit="false"/>
      <protection locked="true" hidden="false"/>
    </xf>
    <xf numFmtId="164" fontId="6" fillId="0" borderId="17" xfId="0" applyFont="true" applyBorder="true" applyAlignment="true" applyProtection="true">
      <alignment horizontal="general" vertical="center" textRotation="0" wrapText="false" indent="0" shrinkToFit="false"/>
      <protection locked="true" hidden="false"/>
    </xf>
    <xf numFmtId="164" fontId="6" fillId="0" borderId="6" xfId="0" applyFont="true" applyBorder="true" applyAlignment="true" applyProtection="true">
      <alignment horizontal="general" vertical="center" textRotation="0" wrapText="false" indent="0" shrinkToFit="false"/>
      <protection locked="true" hidden="false"/>
    </xf>
    <xf numFmtId="164" fontId="6" fillId="0" borderId="18" xfId="0" applyFont="true" applyBorder="true" applyAlignment="true" applyProtection="true">
      <alignment horizontal="general" vertical="center" textRotation="0" wrapText="false" indent="0" shrinkToFit="false"/>
      <protection locked="true" hidden="false"/>
    </xf>
    <xf numFmtId="164" fontId="6" fillId="0" borderId="19" xfId="0" applyFont="true" applyBorder="true" applyAlignment="true" applyProtection="true">
      <alignment horizontal="general" vertical="center" textRotation="0" wrapText="false" indent="0" shrinkToFit="false"/>
      <protection locked="true" hidden="false"/>
    </xf>
    <xf numFmtId="164" fontId="6" fillId="0" borderId="9" xfId="0" applyFont="true" applyBorder="true" applyAlignment="true" applyProtection="true">
      <alignment horizontal="general" vertical="center" textRotation="0" wrapText="false" indent="0" shrinkToFit="false"/>
      <protection locked="true" hidden="false"/>
    </xf>
    <xf numFmtId="164" fontId="6" fillId="0" borderId="20"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8"/>
      <rgbColor rgb="FFB4C6E7"/>
      <rgbColor rgb="FF808080"/>
      <rgbColor rgb="FF9999FF"/>
      <rgbColor rgb="FF993366"/>
      <rgbColor rgb="FFFFF2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16" activePane="bottomRight" state="frozen"/>
      <selection pane="topLeft" activeCell="A1" activeCellId="0" sqref="A1"/>
      <selection pane="topRight" activeCell="B1" activeCellId="0" sqref="B1"/>
      <selection pane="bottomLeft" activeCell="A16" activeCellId="0" sqref="A16"/>
      <selection pane="bottomRight" activeCell="B33" activeCellId="0" sqref="B33"/>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7" min="2" style="1" width="14"/>
    <col collapsed="false" customWidth="true" hidden="false" outlineLevel="0" max="8" min="8" style="1" width="3"/>
    <col collapsed="false" customWidth="true" hidden="false" outlineLevel="0" max="9" min="9" style="1" width="26"/>
    <col collapsed="false" customWidth="true" hidden="false" outlineLevel="0" max="12" min="10" style="1" width="14"/>
  </cols>
  <sheetData>
    <row r="1" customFormat="false" ht="27.75" hidden="false" customHeight="true" outlineLevel="0" collapsed="false">
      <c r="A1" s="2" t="s">
        <v>0</v>
      </c>
      <c r="B1" s="2"/>
      <c r="C1" s="2"/>
      <c r="D1" s="2"/>
      <c r="E1" s="2"/>
      <c r="F1" s="2"/>
      <c r="G1" s="2"/>
      <c r="H1" s="2"/>
      <c r="I1" s="2"/>
      <c r="J1" s="2"/>
      <c r="K1" s="2"/>
      <c r="L1" s="2"/>
    </row>
    <row r="2" customFormat="false" ht="21.75" hidden="false" customHeight="true" outlineLevel="0" collapsed="false">
      <c r="A2" s="3" t="s">
        <v>1</v>
      </c>
      <c r="B2" s="3"/>
      <c r="C2" s="3"/>
      <c r="D2" s="3"/>
      <c r="E2" s="3"/>
      <c r="F2" s="3"/>
      <c r="G2" s="3"/>
      <c r="H2" s="3"/>
      <c r="I2" s="3"/>
      <c r="J2" s="3"/>
      <c r="K2" s="3"/>
      <c r="L2" s="3"/>
    </row>
    <row r="3" customFormat="false" ht="13.5" hidden="false" customHeight="true" outlineLevel="0" collapsed="false">
      <c r="A3" s="4" t="s">
        <v>2</v>
      </c>
      <c r="B3" s="5" t="s">
        <v>3</v>
      </c>
      <c r="C3" s="5" t="s">
        <v>4</v>
      </c>
      <c r="D3" s="5" t="s">
        <v>5</v>
      </c>
      <c r="E3" s="5" t="s">
        <v>6</v>
      </c>
      <c r="F3" s="5" t="s">
        <v>7</v>
      </c>
      <c r="G3" s="6" t="s">
        <v>8</v>
      </c>
      <c r="H3" s="7"/>
      <c r="I3" s="7" t="s">
        <v>9</v>
      </c>
      <c r="J3" s="7" t="s">
        <v>6</v>
      </c>
      <c r="K3" s="7" t="s">
        <v>7</v>
      </c>
      <c r="L3" s="7" t="s">
        <v>8</v>
      </c>
    </row>
    <row r="4" customFormat="false" ht="13.5" hidden="false" customHeight="true" outlineLevel="0" collapsed="false">
      <c r="A4" s="8" t="s">
        <v>10</v>
      </c>
      <c r="B4" s="9" t="n">
        <v>1754</v>
      </c>
      <c r="C4" s="9" t="n">
        <v>2255</v>
      </c>
      <c r="D4" s="9" t="n">
        <v>3672</v>
      </c>
      <c r="E4" s="10" t="n">
        <f aca="false">D4*(1+J4)</f>
        <v>5140.8</v>
      </c>
      <c r="F4" s="10" t="n">
        <f aca="false">E4*(1+K4)</f>
        <v>6785.856</v>
      </c>
      <c r="G4" s="10" t="n">
        <f aca="false">F4*(1+L4)</f>
        <v>8550.17856</v>
      </c>
      <c r="H4" s="11"/>
      <c r="I4" s="11" t="s">
        <v>11</v>
      </c>
      <c r="J4" s="12" t="n">
        <v>0.4</v>
      </c>
      <c r="K4" s="12" t="n">
        <v>0.32</v>
      </c>
      <c r="L4" s="12" t="n">
        <v>0.26</v>
      </c>
    </row>
    <row r="5" customFormat="false" ht="13.5" hidden="false" customHeight="true" outlineLevel="0" collapsed="false">
      <c r="A5" s="8" t="s">
        <v>12</v>
      </c>
      <c r="B5" s="9" t="n">
        <v>-139</v>
      </c>
      <c r="C5" s="9" t="n">
        <v>50</v>
      </c>
      <c r="D5" s="9" t="n">
        <v>146</v>
      </c>
      <c r="E5" s="10" t="n">
        <f aca="false">BS!E104</f>
        <v>177.12</v>
      </c>
      <c r="F5" s="10" t="n">
        <f aca="false">BS!F104</f>
        <v>222.938152767123</v>
      </c>
      <c r="G5" s="10" t="n">
        <f aca="false">BS!G104</f>
        <v>216.457726657808</v>
      </c>
      <c r="H5" s="11"/>
      <c r="I5" s="11" t="s">
        <v>13</v>
      </c>
      <c r="J5" s="12" t="n">
        <v>0.71</v>
      </c>
      <c r="K5" s="12" t="n">
        <v>0.69</v>
      </c>
      <c r="L5" s="12" t="n">
        <v>0.67</v>
      </c>
    </row>
    <row r="6" customFormat="false" ht="13.5" hidden="false" customHeight="true" outlineLevel="0" collapsed="false">
      <c r="A6" s="8" t="s">
        <v>14</v>
      </c>
      <c r="B6" s="9" t="n">
        <f aca="false">B4+B5</f>
        <v>1615</v>
      </c>
      <c r="C6" s="9" t="n">
        <f aca="false">C4+C5</f>
        <v>2305</v>
      </c>
      <c r="D6" s="9" t="n">
        <f aca="false">D4+D5</f>
        <v>3818</v>
      </c>
      <c r="E6" s="10" t="n">
        <f aca="false">E4+E5</f>
        <v>5317.92</v>
      </c>
      <c r="F6" s="10" t="n">
        <f aca="false">F4+F5</f>
        <v>7008.79415276712</v>
      </c>
      <c r="G6" s="10" t="n">
        <f aca="false">G4+G5</f>
        <v>8766.63628665781</v>
      </c>
      <c r="H6" s="11"/>
      <c r="I6" s="11" t="s">
        <v>15</v>
      </c>
      <c r="J6" s="12" t="n">
        <v>0.06</v>
      </c>
      <c r="K6" s="12" t="n">
        <v>0.06</v>
      </c>
      <c r="L6" s="12" t="n">
        <v>0.06</v>
      </c>
    </row>
    <row r="7" customFormat="false" ht="13.5" hidden="false" customHeight="true" outlineLevel="0" collapsed="false">
      <c r="A7" s="8"/>
      <c r="B7" s="13"/>
      <c r="C7" s="13"/>
      <c r="D7" s="13"/>
      <c r="E7" s="10"/>
      <c r="F7" s="10"/>
      <c r="G7" s="14"/>
      <c r="H7" s="11"/>
      <c r="I7" s="11" t="s">
        <v>16</v>
      </c>
      <c r="J7" s="12" t="n">
        <v>0.02</v>
      </c>
      <c r="K7" s="12" t="n">
        <v>0.02</v>
      </c>
      <c r="L7" s="12" t="n">
        <v>0.02</v>
      </c>
    </row>
    <row r="8" customFormat="false" ht="13.5" hidden="false" customHeight="true" outlineLevel="0" collapsed="false">
      <c r="A8" s="8" t="s">
        <v>11</v>
      </c>
      <c r="B8" s="15"/>
      <c r="C8" s="15" t="n">
        <f aca="false">C6/B6-1</f>
        <v>0.427244582043344</v>
      </c>
      <c r="D8" s="15" t="n">
        <f aca="false">D6/C6-1</f>
        <v>0.656399132321041</v>
      </c>
      <c r="E8" s="16" t="n">
        <f aca="false">E4/D4-1</f>
        <v>0.4</v>
      </c>
      <c r="F8" s="16" t="n">
        <f aca="false">F4/E4-1</f>
        <v>0.32</v>
      </c>
      <c r="G8" s="17" t="n">
        <f aca="false">G4/F4-1</f>
        <v>0.26</v>
      </c>
      <c r="H8" s="11"/>
      <c r="I8" s="11" t="s">
        <v>17</v>
      </c>
      <c r="J8" s="12" t="n">
        <v>0.11</v>
      </c>
      <c r="K8" s="12" t="n">
        <v>0.1</v>
      </c>
      <c r="L8" s="12" t="n">
        <v>0.095</v>
      </c>
    </row>
    <row r="9" customFormat="false" ht="13.5" hidden="false" customHeight="true" outlineLevel="0" collapsed="false">
      <c r="A9" s="8"/>
      <c r="B9" s="13"/>
      <c r="C9" s="13"/>
      <c r="D9" s="13"/>
      <c r="E9" s="10"/>
      <c r="F9" s="10"/>
      <c r="G9" s="14"/>
      <c r="H9" s="11"/>
      <c r="I9" s="11" t="s">
        <v>18</v>
      </c>
      <c r="J9" s="12" t="n">
        <v>0.12</v>
      </c>
      <c r="K9" s="12" t="n">
        <v>0.09</v>
      </c>
      <c r="L9" s="12" t="n">
        <v>0.075</v>
      </c>
    </row>
    <row r="10" customFormat="false" ht="13.5" hidden="false" customHeight="true" outlineLevel="0" collapsed="false">
      <c r="A10" s="8" t="s">
        <v>19</v>
      </c>
      <c r="B10" s="13"/>
      <c r="C10" s="13"/>
      <c r="D10" s="13"/>
      <c r="E10" s="10"/>
      <c r="F10" s="10"/>
      <c r="G10" s="14"/>
      <c r="H10" s="11"/>
      <c r="I10" s="11" t="s">
        <v>20</v>
      </c>
      <c r="J10" s="12" t="n">
        <v>0.25</v>
      </c>
      <c r="K10" s="12" t="n">
        <v>0.25</v>
      </c>
      <c r="L10" s="12" t="n">
        <v>0.25</v>
      </c>
    </row>
    <row r="11" customFormat="false" ht="13.5" hidden="false" customHeight="true" outlineLevel="0" collapsed="false">
      <c r="A11" s="8" t="s">
        <v>21</v>
      </c>
      <c r="B11" s="9" t="n">
        <v>-1350</v>
      </c>
      <c r="C11" s="9" t="n">
        <v>-1600</v>
      </c>
      <c r="D11" s="9" t="n">
        <v>-2680</v>
      </c>
      <c r="E11" s="10" t="n">
        <f aca="false">-E4*J5</f>
        <v>-3649.968</v>
      </c>
      <c r="F11" s="10" t="n">
        <f aca="false">-F4*K5</f>
        <v>-4682.24064</v>
      </c>
      <c r="G11" s="10" t="n">
        <f aca="false">-G4*L5</f>
        <v>-5728.6196352</v>
      </c>
      <c r="H11" s="11"/>
      <c r="I11" s="11" t="s">
        <v>22</v>
      </c>
      <c r="J11" s="12" t="n">
        <v>0</v>
      </c>
      <c r="K11" s="12" t="n">
        <v>0</v>
      </c>
      <c r="L11" s="12" t="n">
        <v>0</v>
      </c>
    </row>
    <row r="12" customFormat="false" ht="13.5" hidden="false" customHeight="true" outlineLevel="0" collapsed="false">
      <c r="A12" s="8" t="s">
        <v>23</v>
      </c>
      <c r="B12" s="9" t="n">
        <v>0</v>
      </c>
      <c r="C12" s="9" t="n">
        <v>-100</v>
      </c>
      <c r="D12" s="9" t="n">
        <v>-180</v>
      </c>
      <c r="E12" s="10" t="n">
        <f aca="false">-E4*J6</f>
        <v>-308.448</v>
      </c>
      <c r="F12" s="10" t="n">
        <f aca="false">-F4*K6</f>
        <v>-407.15136</v>
      </c>
      <c r="G12" s="10" t="n">
        <f aca="false">-G4*L6</f>
        <v>-513.0107136</v>
      </c>
      <c r="H12" s="11"/>
      <c r="I12" s="11"/>
      <c r="J12" s="12"/>
      <c r="K12" s="12"/>
      <c r="L12" s="12"/>
    </row>
    <row r="13" customFormat="false" ht="13.5" hidden="false" customHeight="true" outlineLevel="0" collapsed="false">
      <c r="A13" s="8" t="s">
        <v>24</v>
      </c>
      <c r="B13" s="9" t="n">
        <v>0</v>
      </c>
      <c r="C13" s="9" t="n">
        <v>-82</v>
      </c>
      <c r="D13" s="9" t="n">
        <v>-114</v>
      </c>
      <c r="E13" s="10" t="n">
        <f aca="false">-E4*J7</f>
        <v>-102.816</v>
      </c>
      <c r="F13" s="10" t="n">
        <f aca="false">-F4*K7</f>
        <v>-135.71712</v>
      </c>
      <c r="G13" s="10" t="n">
        <f aca="false">-G4*L7</f>
        <v>-171.0035712</v>
      </c>
      <c r="H13" s="11"/>
      <c r="I13" s="11" t="s">
        <v>25</v>
      </c>
      <c r="J13" s="12" t="n">
        <v>0</v>
      </c>
      <c r="K13" s="12" t="n">
        <v>0</v>
      </c>
      <c r="L13" s="12" t="n">
        <v>0</v>
      </c>
    </row>
    <row r="14" customFormat="false" ht="13.5" hidden="false" customHeight="true" outlineLevel="0" collapsed="false">
      <c r="A14" s="8" t="s">
        <v>26</v>
      </c>
      <c r="B14" s="9" t="n">
        <v>-260</v>
      </c>
      <c r="C14" s="9" t="n">
        <v>-330</v>
      </c>
      <c r="D14" s="9" t="n">
        <v>-430</v>
      </c>
      <c r="E14" s="10" t="n">
        <f aca="false">-E4*J8</f>
        <v>-565.488</v>
      </c>
      <c r="F14" s="10" t="n">
        <f aca="false">-F4*K8</f>
        <v>-678.5856</v>
      </c>
      <c r="G14" s="10" t="n">
        <f aca="false">-G4*L8</f>
        <v>-812.2669632</v>
      </c>
      <c r="H14" s="11"/>
      <c r="I14" s="11"/>
      <c r="J14" s="11"/>
      <c r="K14" s="11"/>
      <c r="L14" s="11"/>
    </row>
    <row r="15" customFormat="false" ht="13.5" hidden="false" customHeight="true" outlineLevel="0" collapsed="false">
      <c r="A15" s="8" t="s">
        <v>27</v>
      </c>
      <c r="B15" s="9" t="n">
        <v>-828</v>
      </c>
      <c r="C15" s="9" t="n">
        <v>-724</v>
      </c>
      <c r="D15" s="9" t="n">
        <v>-676</v>
      </c>
      <c r="E15" s="10" t="n">
        <f aca="false">-E4*J9</f>
        <v>-616.896</v>
      </c>
      <c r="F15" s="10" t="n">
        <f aca="false">-F4*K9</f>
        <v>-610.72704</v>
      </c>
      <c r="G15" s="10" t="n">
        <f aca="false">-G4*L9</f>
        <v>-641.263392</v>
      </c>
      <c r="H15" s="11"/>
      <c r="I15" s="11"/>
      <c r="J15" s="11"/>
      <c r="K15" s="11"/>
      <c r="L15" s="11"/>
    </row>
    <row r="16" customFormat="false" ht="13.5" hidden="false" customHeight="true" outlineLevel="0" collapsed="false">
      <c r="A16" s="8" t="s">
        <v>28</v>
      </c>
      <c r="B16" s="13" t="n">
        <f aca="false">B4+SUM(B11:B15)</f>
        <v>-684</v>
      </c>
      <c r="C16" s="13" t="n">
        <f aca="false">C4+SUM(C11:C15)</f>
        <v>-581</v>
      </c>
      <c r="D16" s="13" t="n">
        <f aca="false">D4+SUM(D11:D15)</f>
        <v>-408</v>
      </c>
      <c r="E16" s="10" t="n">
        <f aca="false">E4+SUM(E11:E15)</f>
        <v>-102.816</v>
      </c>
      <c r="F16" s="10" t="n">
        <f aca="false">F4+SUM(F11:F15)</f>
        <v>271.434240000001</v>
      </c>
      <c r="G16" s="10" t="n">
        <f aca="false">G4+SUM(G11:G15)</f>
        <v>684.0142848</v>
      </c>
      <c r="H16" s="11"/>
      <c r="I16" s="11"/>
      <c r="J16" s="11"/>
      <c r="K16" s="11"/>
      <c r="L16" s="11"/>
    </row>
    <row r="17" customFormat="false" ht="13.5" hidden="false" customHeight="true" outlineLevel="0" collapsed="false">
      <c r="A17" s="8" t="s">
        <v>29</v>
      </c>
      <c r="B17" s="15" t="n">
        <f aca="false">B16/B4</f>
        <v>-0.389965792474344</v>
      </c>
      <c r="C17" s="15" t="n">
        <f aca="false">C16/C4</f>
        <v>-0.257649667405765</v>
      </c>
      <c r="D17" s="15" t="n">
        <f aca="false">D16/D4</f>
        <v>-0.111111111111111</v>
      </c>
      <c r="E17" s="16" t="n">
        <f aca="false">E16/E4</f>
        <v>-0.02</v>
      </c>
      <c r="F17" s="16" t="n">
        <f aca="false">F16/F4</f>
        <v>0.0400000000000002</v>
      </c>
      <c r="G17" s="16" t="n">
        <f aca="false">G16/G4</f>
        <v>0.08</v>
      </c>
      <c r="H17" s="11"/>
      <c r="I17" s="11"/>
      <c r="J17" s="11"/>
      <c r="K17" s="11"/>
      <c r="L17" s="11"/>
    </row>
    <row r="18" customFormat="false" ht="13.5" hidden="false" customHeight="true" outlineLevel="0" collapsed="false">
      <c r="A18" s="8"/>
      <c r="B18" s="13"/>
      <c r="C18" s="13"/>
      <c r="D18" s="13"/>
      <c r="E18" s="10"/>
      <c r="F18" s="10"/>
      <c r="G18" s="14"/>
      <c r="H18" s="11"/>
      <c r="I18" s="11"/>
      <c r="J18" s="11"/>
      <c r="K18" s="11"/>
      <c r="L18" s="11"/>
    </row>
    <row r="19" customFormat="false" ht="13.5" hidden="false" customHeight="true" outlineLevel="0" collapsed="false">
      <c r="A19" s="8" t="s">
        <v>30</v>
      </c>
      <c r="B19" s="9" t="n">
        <v>-147</v>
      </c>
      <c r="C19" s="9" t="n">
        <v>-171</v>
      </c>
      <c r="D19" s="9" t="n">
        <v>-173</v>
      </c>
      <c r="E19" s="10" t="n">
        <f aca="false">-BS!E85</f>
        <v>-108.24</v>
      </c>
      <c r="F19" s="10" t="n">
        <f aca="false">-BS!F85</f>
        <v>-179.074412</v>
      </c>
      <c r="G19" s="10" t="n">
        <f aca="false">-BS!G85</f>
        <v>-233.69924028</v>
      </c>
      <c r="H19" s="11"/>
      <c r="I19" s="11"/>
      <c r="J19" s="11"/>
      <c r="K19" s="11"/>
      <c r="L19" s="11"/>
    </row>
    <row r="20" customFormat="false" ht="13.5" hidden="false" customHeight="true" outlineLevel="0" collapsed="false">
      <c r="A20" s="8" t="s">
        <v>31</v>
      </c>
      <c r="B20" s="13" t="n">
        <f aca="false">B16+B19+B5</f>
        <v>-970</v>
      </c>
      <c r="C20" s="13" t="n">
        <f aca="false">C16+C19+C5</f>
        <v>-702</v>
      </c>
      <c r="D20" s="13" t="n">
        <f aca="false">D16+D19+D5</f>
        <v>-435</v>
      </c>
      <c r="E20" s="10" t="n">
        <f aca="false">E16+E19+E5</f>
        <v>-33.9359999999998</v>
      </c>
      <c r="F20" s="10" t="n">
        <f aca="false">F16+F19+F5</f>
        <v>315.297980767125</v>
      </c>
      <c r="G20" s="10" t="n">
        <f aca="false">G16+G19+G5</f>
        <v>666.772771177808</v>
      </c>
      <c r="H20" s="11"/>
      <c r="I20" s="11"/>
      <c r="J20" s="11"/>
      <c r="K20" s="11"/>
      <c r="L20" s="11"/>
    </row>
    <row r="21" customFormat="false" ht="13.5" hidden="false" customHeight="true" outlineLevel="0" collapsed="false">
      <c r="A21" s="8" t="s">
        <v>32</v>
      </c>
      <c r="B21" s="9" t="n">
        <v>-89</v>
      </c>
      <c r="C21" s="9" t="n">
        <v>-111</v>
      </c>
      <c r="D21" s="9" t="n">
        <v>-82</v>
      </c>
      <c r="E21" s="10" t="n">
        <f aca="false">-BS!E97</f>
        <v>-66.4</v>
      </c>
      <c r="F21" s="10" t="n">
        <f aca="false">-BS!F97</f>
        <v>-58.33</v>
      </c>
      <c r="G21" s="10" t="n">
        <f aca="false">-BS!G97</f>
        <v>-50.76</v>
      </c>
      <c r="H21" s="11"/>
      <c r="I21" s="11"/>
      <c r="J21" s="11"/>
      <c r="K21" s="11"/>
      <c r="L21" s="11"/>
    </row>
    <row r="22" customFormat="false" ht="13.5" hidden="false" customHeight="true" outlineLevel="0" collapsed="false">
      <c r="A22" s="8" t="s">
        <v>33</v>
      </c>
      <c r="B22" s="9" t="n">
        <f aca="false">B20+B21</f>
        <v>-1059</v>
      </c>
      <c r="C22" s="9" t="n">
        <f aca="false">C20+C21</f>
        <v>-813</v>
      </c>
      <c r="D22" s="9" t="n">
        <f aca="false">D20+D21</f>
        <v>-517</v>
      </c>
      <c r="E22" s="10" t="n">
        <f aca="false">E20+E21</f>
        <v>-100.336</v>
      </c>
      <c r="F22" s="10" t="n">
        <f aca="false">F20+F21</f>
        <v>256.967980767125</v>
      </c>
      <c r="G22" s="10" t="n">
        <f aca="false">G20+G21</f>
        <v>616.012771177808</v>
      </c>
      <c r="H22" s="11"/>
      <c r="I22" s="11"/>
      <c r="J22" s="11"/>
      <c r="K22" s="11"/>
      <c r="L22" s="11"/>
    </row>
    <row r="23" customFormat="false" ht="13.5" hidden="false" customHeight="true" outlineLevel="0" collapsed="false">
      <c r="A23" s="8" t="s">
        <v>25</v>
      </c>
      <c r="B23" s="9" t="n">
        <v>0</v>
      </c>
      <c r="C23" s="9" t="n">
        <v>0</v>
      </c>
      <c r="D23" s="9" t="n">
        <v>0</v>
      </c>
      <c r="E23" s="10" t="n">
        <f aca="false">J13</f>
        <v>0</v>
      </c>
      <c r="F23" s="10" t="n">
        <f aca="false">K13</f>
        <v>0</v>
      </c>
      <c r="G23" s="14" t="n">
        <f aca="false">L13</f>
        <v>0</v>
      </c>
      <c r="H23" s="11"/>
      <c r="I23" s="11"/>
      <c r="J23" s="11"/>
      <c r="K23" s="11"/>
      <c r="L23" s="11"/>
    </row>
    <row r="24" customFormat="false" ht="13.5" hidden="false" customHeight="true" outlineLevel="0" collapsed="false">
      <c r="A24" s="8" t="s">
        <v>34</v>
      </c>
      <c r="B24" s="9" t="n">
        <f aca="false">B22+B23</f>
        <v>-1059</v>
      </c>
      <c r="C24" s="9" t="n">
        <f aca="false">C22+C23</f>
        <v>-813</v>
      </c>
      <c r="D24" s="9" t="n">
        <f aca="false">D22+D23</f>
        <v>-517</v>
      </c>
      <c r="E24" s="10" t="n">
        <f aca="false">E22+E23</f>
        <v>-100.336</v>
      </c>
      <c r="F24" s="10" t="n">
        <f aca="false">F22+F23</f>
        <v>256.967980767125</v>
      </c>
      <c r="G24" s="10" t="n">
        <f aca="false">G22+G23</f>
        <v>616.012771177808</v>
      </c>
      <c r="H24" s="11"/>
      <c r="I24" s="11"/>
      <c r="J24" s="11"/>
      <c r="K24" s="11"/>
      <c r="L24" s="11"/>
    </row>
    <row r="25" customFormat="false" ht="13.5" hidden="false" customHeight="true" outlineLevel="0" collapsed="false">
      <c r="A25" s="8" t="s">
        <v>35</v>
      </c>
      <c r="B25" s="9" t="n">
        <v>0</v>
      </c>
      <c r="C25" s="9" t="n">
        <v>0</v>
      </c>
      <c r="D25" s="9" t="n">
        <v>0</v>
      </c>
      <c r="E25" s="10" t="n">
        <f aca="false">-MAX(0,E24)*J10</f>
        <v>-0</v>
      </c>
      <c r="F25" s="10" t="n">
        <f aca="false">-MAX(0,F24)*K10</f>
        <v>-64.2419951917812</v>
      </c>
      <c r="G25" s="10" t="n">
        <f aca="false">-MAX(0,G24)*L10</f>
        <v>-154.003192794452</v>
      </c>
      <c r="H25" s="11"/>
      <c r="I25" s="11"/>
      <c r="J25" s="11"/>
      <c r="K25" s="11"/>
      <c r="L25" s="11"/>
    </row>
    <row r="26" customFormat="false" ht="13.5" hidden="false" customHeight="true" outlineLevel="0" collapsed="false">
      <c r="A26" s="8" t="s">
        <v>36</v>
      </c>
      <c r="B26" s="9" t="n">
        <f aca="false">B24+B25</f>
        <v>-1059</v>
      </c>
      <c r="C26" s="9" t="n">
        <f aca="false">C24+C25</f>
        <v>-813</v>
      </c>
      <c r="D26" s="9" t="n">
        <f aca="false">D24+D25</f>
        <v>-517</v>
      </c>
      <c r="E26" s="10" t="n">
        <f aca="false">E24+E25</f>
        <v>-100.336</v>
      </c>
      <c r="F26" s="10" t="n">
        <f aca="false">F24+F25</f>
        <v>192.725985575344</v>
      </c>
      <c r="G26" s="10" t="n">
        <f aca="false">G24+G25</f>
        <v>462.009578383356</v>
      </c>
      <c r="H26" s="11"/>
      <c r="I26" s="11"/>
      <c r="J26" s="11"/>
      <c r="K26" s="11"/>
      <c r="L26" s="11"/>
    </row>
    <row r="27" customFormat="false" ht="13.5" hidden="false" customHeight="true" outlineLevel="0" collapsed="false">
      <c r="A27" s="8" t="s">
        <v>37</v>
      </c>
      <c r="B27" s="9" t="s">
        <v>38</v>
      </c>
      <c r="C27" s="9" t="s">
        <v>38</v>
      </c>
      <c r="D27" s="9" t="n">
        <f aca="false">D26/D29</f>
        <v>-13.8605898123324</v>
      </c>
      <c r="E27" s="10" t="n">
        <f aca="false">E26/E29</f>
        <v>-2.56613810741688</v>
      </c>
      <c r="F27" s="10" t="n">
        <f aca="false">F26/F29</f>
        <v>4.92905333952285</v>
      </c>
      <c r="G27" s="10" t="n">
        <f aca="false">G26/G29</f>
        <v>11.8161017489349</v>
      </c>
      <c r="H27" s="11"/>
      <c r="I27" s="11"/>
      <c r="J27" s="11"/>
      <c r="K27" s="11"/>
      <c r="L27" s="11"/>
    </row>
    <row r="28" customFormat="false" ht="13.5" hidden="false" customHeight="true" outlineLevel="0" collapsed="false">
      <c r="A28" s="8"/>
      <c r="B28" s="13"/>
      <c r="C28" s="13"/>
      <c r="D28" s="13"/>
      <c r="E28" s="10"/>
      <c r="F28" s="10"/>
      <c r="G28" s="14"/>
      <c r="H28" s="11"/>
      <c r="I28" s="11"/>
      <c r="J28" s="11"/>
      <c r="K28" s="11"/>
      <c r="L28" s="11"/>
    </row>
    <row r="29" customFormat="false" ht="13.5" hidden="false" customHeight="true" outlineLevel="0" collapsed="false">
      <c r="A29" s="8" t="s">
        <v>39</v>
      </c>
      <c r="B29" s="9"/>
      <c r="C29" s="9"/>
      <c r="D29" s="9" t="n">
        <v>37.3</v>
      </c>
      <c r="E29" s="10" t="n">
        <v>39.1</v>
      </c>
      <c r="F29" s="10" t="n">
        <v>39.1</v>
      </c>
      <c r="G29" s="10" t="n">
        <v>39.1</v>
      </c>
      <c r="H29" s="11"/>
      <c r="I29" s="11"/>
      <c r="J29" s="11"/>
      <c r="K29" s="11"/>
      <c r="L29" s="11"/>
    </row>
    <row r="30" customFormat="false" ht="13.5" hidden="false" customHeight="true" outlineLevel="0" collapsed="false">
      <c r="A30" s="8"/>
      <c r="B30" s="13"/>
      <c r="C30" s="13"/>
      <c r="D30" s="13"/>
      <c r="E30" s="10"/>
      <c r="F30" s="10"/>
      <c r="G30" s="14"/>
      <c r="H30" s="11"/>
      <c r="I30" s="11"/>
      <c r="J30" s="11"/>
      <c r="K30" s="11"/>
      <c r="L30" s="11"/>
    </row>
    <row r="31" customFormat="false" ht="13.5" hidden="false" customHeight="true" outlineLevel="0" collapsed="false">
      <c r="A31" s="18" t="s">
        <v>40</v>
      </c>
      <c r="B31" s="19" t="n">
        <v>0</v>
      </c>
      <c r="C31" s="19" t="n">
        <v>0</v>
      </c>
      <c r="D31" s="19" t="n">
        <v>0</v>
      </c>
      <c r="E31" s="20" t="n">
        <f aca="false">E26*J11</f>
        <v>-0</v>
      </c>
      <c r="F31" s="20" t="n">
        <f aca="false">F26*K11</f>
        <v>0</v>
      </c>
      <c r="G31" s="20" t="n">
        <f aca="false">G26*L11</f>
        <v>0</v>
      </c>
      <c r="H31" s="11"/>
      <c r="I31" s="11"/>
      <c r="J31" s="11"/>
      <c r="K31" s="11"/>
      <c r="L31" s="11"/>
    </row>
    <row r="32" customFormat="false" ht="13.5" hidden="false" customHeight="true" outlineLevel="0" collapsed="false">
      <c r="A32" s="18" t="s">
        <v>41</v>
      </c>
      <c r="B32" s="19" t="n">
        <f aca="false">B26-B31</f>
        <v>-1059</v>
      </c>
      <c r="C32" s="19" t="n">
        <f aca="false">C26-C31</f>
        <v>-813</v>
      </c>
      <c r="D32" s="19" t="n">
        <f aca="false">D26-D31</f>
        <v>-517</v>
      </c>
      <c r="E32" s="20" t="n">
        <f aca="false">E26-E31</f>
        <v>-100.336</v>
      </c>
      <c r="F32" s="20" t="n">
        <f aca="false">F26-F31</f>
        <v>192.725985575344</v>
      </c>
      <c r="G32" s="20" t="n">
        <f aca="false">G26-G31</f>
        <v>462.009578383356</v>
      </c>
      <c r="H32" s="11"/>
      <c r="I32" s="11"/>
      <c r="J32" s="11"/>
      <c r="K32" s="11"/>
      <c r="L32" s="11"/>
    </row>
    <row r="33" customFormat="false" ht="13.5" hidden="false" customHeight="true" outlineLevel="0" collapsed="false">
      <c r="A33" s="18" t="s">
        <v>42</v>
      </c>
      <c r="B33" s="19" t="n">
        <v>-1059</v>
      </c>
      <c r="C33" s="19" t="n">
        <v>-813</v>
      </c>
      <c r="D33" s="19" t="n">
        <v>-517</v>
      </c>
      <c r="E33" s="20"/>
      <c r="F33" s="20"/>
      <c r="G33" s="21"/>
      <c r="H33" s="11"/>
      <c r="I33" s="11"/>
      <c r="J33" s="11"/>
      <c r="K33" s="11"/>
      <c r="L33" s="11"/>
    </row>
    <row r="34" customFormat="false" ht="13.5" hidden="false" customHeight="true" outlineLevel="0" collapsed="false">
      <c r="A34" s="22" t="s">
        <v>43</v>
      </c>
      <c r="B34" s="23" t="n">
        <f aca="false">ROUND(B26-B33,2)</f>
        <v>0</v>
      </c>
      <c r="C34" s="23" t="n">
        <f aca="false">ROUND(C26-C33,2)</f>
        <v>0</v>
      </c>
      <c r="D34" s="23" t="n">
        <f aca="false">ROUND(D26-D33,2)</f>
        <v>0</v>
      </c>
      <c r="E34" s="24"/>
      <c r="F34" s="24"/>
      <c r="G34" s="25"/>
      <c r="H34" s="11"/>
      <c r="I34" s="11"/>
      <c r="J34" s="11"/>
      <c r="K34" s="11"/>
      <c r="L34" s="11"/>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93" activePane="bottomRight" state="frozen"/>
      <selection pane="topLeft" activeCell="A1" activeCellId="0" sqref="A1"/>
      <selection pane="topRight" activeCell="B1" activeCellId="0" sqref="B1"/>
      <selection pane="bottomLeft" activeCell="A93" activeCellId="0" sqref="A93"/>
      <selection pane="bottomRight" activeCell="E102" activeCellId="0" sqref="E102"/>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7" min="2" style="1" width="14"/>
  </cols>
  <sheetData>
    <row r="1" customFormat="false" ht="27.75" hidden="false" customHeight="true" outlineLevel="0" collapsed="false">
      <c r="A1" s="2" t="s">
        <v>44</v>
      </c>
      <c r="B1" s="2"/>
      <c r="C1" s="2"/>
      <c r="D1" s="2"/>
      <c r="E1" s="2"/>
      <c r="F1" s="2"/>
      <c r="G1" s="2"/>
    </row>
    <row r="2" customFormat="false" ht="21.75" hidden="false" customHeight="true" outlineLevel="0" collapsed="false">
      <c r="A2" s="3" t="s">
        <v>45</v>
      </c>
      <c r="B2" s="3"/>
      <c r="C2" s="3"/>
      <c r="D2" s="3"/>
      <c r="E2" s="3"/>
      <c r="F2" s="3"/>
      <c r="G2" s="3"/>
    </row>
    <row r="3" customFormat="false" ht="13.5" hidden="false" customHeight="true" outlineLevel="0" collapsed="false">
      <c r="A3" s="7" t="s">
        <v>2</v>
      </c>
      <c r="B3" s="7" t="s">
        <v>3</v>
      </c>
      <c r="C3" s="7" t="s">
        <v>4</v>
      </c>
      <c r="D3" s="7" t="s">
        <v>5</v>
      </c>
      <c r="E3" s="7" t="s">
        <v>6</v>
      </c>
      <c r="F3" s="7" t="s">
        <v>7</v>
      </c>
      <c r="G3" s="7" t="s">
        <v>8</v>
      </c>
    </row>
    <row r="4" customFormat="false" ht="13.5" hidden="false" customHeight="true" outlineLevel="0" collapsed="false">
      <c r="A4" s="26" t="s">
        <v>46</v>
      </c>
      <c r="B4" s="27"/>
      <c r="C4" s="27"/>
      <c r="D4" s="27"/>
      <c r="E4" s="28"/>
      <c r="F4" s="28"/>
      <c r="G4" s="28"/>
    </row>
    <row r="5" customFormat="false" ht="13.5" hidden="false" customHeight="true" outlineLevel="0" collapsed="false">
      <c r="A5" s="11" t="s">
        <v>47</v>
      </c>
      <c r="B5" s="29" t="n">
        <v>360</v>
      </c>
      <c r="C5" s="29" t="n">
        <v>470</v>
      </c>
      <c r="D5" s="29" t="n">
        <v>480</v>
      </c>
      <c r="E5" s="30" t="n">
        <f aca="false">E81</f>
        <v>631.6</v>
      </c>
      <c r="F5" s="30" t="n">
        <f aca="false">F81</f>
        <v>788.80508</v>
      </c>
      <c r="G5" s="30" t="n">
        <f aca="false">G81</f>
        <v>1026.3512252</v>
      </c>
    </row>
    <row r="6" customFormat="false" ht="13.5" hidden="false" customHeight="true" outlineLevel="0" collapsed="false">
      <c r="A6" s="11" t="s">
        <v>48</v>
      </c>
      <c r="B6" s="29" t="n">
        <v>71</v>
      </c>
      <c r="C6" s="29" t="n">
        <v>122</v>
      </c>
      <c r="D6" s="29" t="n">
        <v>340</v>
      </c>
      <c r="E6" s="30" t="n">
        <f aca="false">E82</f>
        <v>784.008</v>
      </c>
      <c r="F6" s="30" t="n">
        <f aca="false">F82</f>
        <v>1142.5936</v>
      </c>
      <c r="G6" s="30" t="n">
        <f aca="false">G82</f>
        <v>1291.1060992</v>
      </c>
    </row>
    <row r="7" customFormat="false" ht="13.5" hidden="false" customHeight="true" outlineLevel="0" collapsed="false">
      <c r="A7" s="11" t="s">
        <v>49</v>
      </c>
      <c r="B7" s="29" t="n">
        <v>0</v>
      </c>
      <c r="C7" s="29" t="n">
        <v>0</v>
      </c>
      <c r="D7" s="29" t="n">
        <v>0</v>
      </c>
      <c r="E7" s="30" t="n">
        <f aca="false">D7</f>
        <v>0</v>
      </c>
      <c r="F7" s="30" t="n">
        <f aca="false">E7</f>
        <v>0</v>
      </c>
      <c r="G7" s="30" t="n">
        <f aca="false">F7</f>
        <v>0</v>
      </c>
    </row>
    <row r="8" customFormat="false" ht="13.5" hidden="false" customHeight="true" outlineLevel="0" collapsed="false">
      <c r="A8" s="11" t="s">
        <v>50</v>
      </c>
      <c r="B8" s="29" t="n">
        <v>65</v>
      </c>
      <c r="C8" s="29" t="n">
        <v>95</v>
      </c>
      <c r="D8" s="29" t="n">
        <v>100</v>
      </c>
      <c r="E8" s="30" t="n">
        <f aca="false">E87</f>
        <v>90.16</v>
      </c>
      <c r="F8" s="30" t="n">
        <f aca="false">F87</f>
        <v>73.880508</v>
      </c>
      <c r="G8" s="30" t="n">
        <f aca="false">G87</f>
        <v>52.63512252</v>
      </c>
    </row>
    <row r="9" customFormat="false" ht="13.5" hidden="false" customHeight="true" outlineLevel="0" collapsed="false">
      <c r="A9" s="11" t="s">
        <v>51</v>
      </c>
      <c r="B9" s="29" t="n">
        <v>34</v>
      </c>
      <c r="C9" s="29" t="n">
        <v>51</v>
      </c>
      <c r="D9" s="29" t="n">
        <v>47</v>
      </c>
      <c r="E9" s="30" t="n">
        <f aca="false">E88</f>
        <v>47</v>
      </c>
      <c r="F9" s="30" t="n">
        <f aca="false">F88</f>
        <v>47</v>
      </c>
      <c r="G9" s="30" t="n">
        <f aca="false">G88</f>
        <v>47</v>
      </c>
    </row>
    <row r="10" customFormat="false" ht="13.5" hidden="false" customHeight="true" outlineLevel="0" collapsed="false">
      <c r="A10" s="11" t="s">
        <v>52</v>
      </c>
      <c r="B10" s="29" t="n">
        <v>0</v>
      </c>
      <c r="C10" s="29" t="n">
        <v>0</v>
      </c>
      <c r="D10" s="29" t="n">
        <v>0</v>
      </c>
      <c r="E10" s="30" t="n">
        <f aca="false">D10</f>
        <v>0</v>
      </c>
      <c r="F10" s="30" t="n">
        <f aca="false">E10</f>
        <v>0</v>
      </c>
      <c r="G10" s="30" t="n">
        <f aca="false">F10</f>
        <v>0</v>
      </c>
    </row>
    <row r="11" customFormat="false" ht="13.5" hidden="false" customHeight="true" outlineLevel="0" collapsed="false">
      <c r="A11" s="11" t="s">
        <v>53</v>
      </c>
      <c r="B11" s="29" t="n">
        <v>0</v>
      </c>
      <c r="C11" s="29" t="n">
        <v>0</v>
      </c>
      <c r="D11" s="29" t="n">
        <v>0</v>
      </c>
      <c r="E11" s="30" t="n">
        <f aca="false">D11</f>
        <v>0</v>
      </c>
      <c r="F11" s="30" t="n">
        <f aca="false">E11</f>
        <v>0</v>
      </c>
      <c r="G11" s="30" t="n">
        <f aca="false">F11</f>
        <v>0</v>
      </c>
    </row>
    <row r="12" customFormat="false" ht="13.5" hidden="false" customHeight="true" outlineLevel="0" collapsed="false">
      <c r="A12" s="11" t="s">
        <v>54</v>
      </c>
      <c r="B12" s="29" t="n">
        <v>0</v>
      </c>
      <c r="C12" s="29" t="n">
        <v>0</v>
      </c>
      <c r="D12" s="29" t="n">
        <v>0</v>
      </c>
      <c r="E12" s="30" t="n">
        <f aca="false">D12</f>
        <v>0</v>
      </c>
      <c r="F12" s="30" t="n">
        <f aca="false">E12</f>
        <v>0</v>
      </c>
      <c r="G12" s="30" t="n">
        <f aca="false">F12</f>
        <v>0</v>
      </c>
    </row>
    <row r="13" customFormat="false" ht="13.5" hidden="false" customHeight="true" outlineLevel="0" collapsed="false">
      <c r="A13" s="11" t="s">
        <v>55</v>
      </c>
      <c r="B13" s="29" t="n">
        <v>0</v>
      </c>
      <c r="C13" s="29" t="n">
        <v>0</v>
      </c>
      <c r="D13" s="29" t="n">
        <v>200</v>
      </c>
      <c r="E13" s="30" t="n">
        <f aca="false">D13</f>
        <v>200</v>
      </c>
      <c r="F13" s="30" t="n">
        <f aca="false">E13</f>
        <v>200</v>
      </c>
      <c r="G13" s="30" t="n">
        <f aca="false">F13</f>
        <v>200</v>
      </c>
    </row>
    <row r="14" customFormat="false" ht="13.5" hidden="false" customHeight="true" outlineLevel="0" collapsed="false">
      <c r="A14" s="11" t="s">
        <v>56</v>
      </c>
      <c r="B14" s="29" t="n">
        <f aca="false">SUM(B5:B13)</f>
        <v>530</v>
      </c>
      <c r="C14" s="29" t="n">
        <f aca="false">SUM(C5:C13)</f>
        <v>738</v>
      </c>
      <c r="D14" s="29" t="n">
        <f aca="false">SUM(D5:D13)</f>
        <v>1167</v>
      </c>
      <c r="E14" s="30" t="n">
        <f aca="false">SUM(E5:E13)</f>
        <v>1752.768</v>
      </c>
      <c r="F14" s="30" t="n">
        <f aca="false">SUM(F5:F13)</f>
        <v>2252.279188</v>
      </c>
      <c r="G14" s="30" t="n">
        <f aca="false">SUM(G5:G13)</f>
        <v>2617.09244692</v>
      </c>
    </row>
    <row r="15" customFormat="false" ht="13.5" hidden="false" customHeight="true" outlineLevel="0" collapsed="false">
      <c r="A15" s="11"/>
      <c r="B15" s="31"/>
      <c r="C15" s="31"/>
      <c r="D15" s="31"/>
      <c r="E15" s="30"/>
      <c r="F15" s="30"/>
      <c r="G15" s="30"/>
    </row>
    <row r="16" customFormat="false" ht="13.5" hidden="false" customHeight="true" outlineLevel="0" collapsed="false">
      <c r="A16" s="26" t="s">
        <v>57</v>
      </c>
      <c r="B16" s="27"/>
      <c r="C16" s="27"/>
      <c r="D16" s="27"/>
      <c r="E16" s="28"/>
      <c r="F16" s="28"/>
      <c r="G16" s="28"/>
    </row>
    <row r="17" customFormat="false" ht="13.5" hidden="false" customHeight="true" outlineLevel="0" collapsed="false">
      <c r="A17" s="11" t="s">
        <v>58</v>
      </c>
      <c r="B17" s="29" t="n">
        <v>185</v>
      </c>
      <c r="C17" s="29" t="n">
        <v>234</v>
      </c>
      <c r="D17" s="29" t="n">
        <v>285</v>
      </c>
      <c r="E17" s="30" t="n">
        <f aca="false">-('Annual P&amp;L'!E11+'Annual P&amp;L'!E12+'Annual P&amp;L'!E13)*E66/365</f>
        <v>378.306542465753</v>
      </c>
      <c r="F17" s="30" t="n">
        <f aca="false">-('Annual P&amp;L'!F11+'Annual P&amp;L'!F12+'Annual P&amp;L'!F13)*F66/365</f>
        <v>472.407125917808</v>
      </c>
      <c r="G17" s="30" t="n">
        <f aca="false">-('Annual P&amp;L'!G11+'Annual P&amp;L'!G12+'Annual P&amp;L'!G13)*G66/365</f>
        <v>562.203521753425</v>
      </c>
    </row>
    <row r="18" customFormat="false" ht="13.5" hidden="false" customHeight="true" outlineLevel="0" collapsed="false">
      <c r="A18" s="11" t="s">
        <v>59</v>
      </c>
      <c r="B18" s="29" t="n">
        <v>292</v>
      </c>
      <c r="C18" s="29" t="n">
        <v>41</v>
      </c>
      <c r="D18" s="29" t="n">
        <v>552</v>
      </c>
      <c r="E18" s="30" t="n">
        <f aca="false">D18</f>
        <v>552</v>
      </c>
      <c r="F18" s="30" t="n">
        <f aca="false">E18</f>
        <v>552</v>
      </c>
      <c r="G18" s="30" t="n">
        <f aca="false">F18</f>
        <v>552</v>
      </c>
    </row>
    <row r="19" customFormat="false" ht="13.5" hidden="false" customHeight="true" outlineLevel="0" collapsed="false">
      <c r="A19" s="11" t="s">
        <v>60</v>
      </c>
      <c r="B19" s="29" t="n">
        <v>10</v>
      </c>
      <c r="C19" s="29" t="n">
        <v>12</v>
      </c>
      <c r="D19" s="29" t="n">
        <v>10</v>
      </c>
      <c r="E19" s="30" t="n">
        <f aca="false">'Annual P&amp;L'!E4*E65/365</f>
        <v>14.0843835616438</v>
      </c>
      <c r="F19" s="30" t="n">
        <f aca="false">'Annual P&amp;L'!F4*F65/365</f>
        <v>18.5913863013699</v>
      </c>
      <c r="G19" s="30" t="n">
        <f aca="false">'Annual P&amp;L'!G4*G65/365</f>
        <v>23.425146739726</v>
      </c>
    </row>
    <row r="20" customFormat="false" ht="13.5" hidden="false" customHeight="true" outlineLevel="0" collapsed="false">
      <c r="A20" s="11" t="s">
        <v>61</v>
      </c>
      <c r="B20" s="29" t="n">
        <v>150</v>
      </c>
      <c r="C20" s="29" t="n">
        <f aca="false">CFS!C35</f>
        <v>32</v>
      </c>
      <c r="D20" s="29" t="n">
        <f aca="false">CFS!D35</f>
        <v>75</v>
      </c>
      <c r="E20" s="30" t="n">
        <f aca="false">D20+CFS!E33</f>
        <v>838.635879452055</v>
      </c>
      <c r="F20" s="30" t="n">
        <f aca="false">E20+CFS!F33</f>
        <v>730.628777630138</v>
      </c>
      <c r="G20" s="30" t="n">
        <f aca="false">F20+CFS!G33</f>
        <v>1037.75126897295</v>
      </c>
    </row>
    <row r="21" customFormat="false" ht="13.5" hidden="false" customHeight="true" outlineLevel="0" collapsed="false">
      <c r="A21" s="11" t="s">
        <v>62</v>
      </c>
      <c r="B21" s="29" t="n">
        <v>650</v>
      </c>
      <c r="C21" s="29" t="n">
        <f aca="false">1041-C18-C20</f>
        <v>968</v>
      </c>
      <c r="D21" s="29" t="n">
        <f aca="false">2952-D18-D20</f>
        <v>2325</v>
      </c>
      <c r="E21" s="30" t="n">
        <f aca="false">D21</f>
        <v>2325</v>
      </c>
      <c r="F21" s="30" t="n">
        <f aca="false">E21</f>
        <v>2325</v>
      </c>
      <c r="G21" s="30" t="n">
        <f aca="false">F21</f>
        <v>2325</v>
      </c>
    </row>
    <row r="22" customFormat="false" ht="13.5" hidden="false" customHeight="true" outlineLevel="0" collapsed="false">
      <c r="A22" s="11" t="s">
        <v>63</v>
      </c>
      <c r="B22" s="29" t="n">
        <v>0</v>
      </c>
      <c r="C22" s="29" t="n">
        <v>0</v>
      </c>
      <c r="D22" s="29" t="n">
        <v>0</v>
      </c>
      <c r="E22" s="30" t="n">
        <f aca="false">D22</f>
        <v>0</v>
      </c>
      <c r="F22" s="30" t="n">
        <f aca="false">E22</f>
        <v>0</v>
      </c>
      <c r="G22" s="30" t="n">
        <f aca="false">F22</f>
        <v>0</v>
      </c>
    </row>
    <row r="23" customFormat="false" ht="13.5" hidden="false" customHeight="true" outlineLevel="0" collapsed="false">
      <c r="A23" s="11" t="s">
        <v>64</v>
      </c>
      <c r="B23" s="29" t="n">
        <v>97</v>
      </c>
      <c r="C23" s="29" t="n">
        <v>76</v>
      </c>
      <c r="D23" s="29" t="n">
        <v>307</v>
      </c>
      <c r="E23" s="30" t="n">
        <f aca="false">'Annual P&amp;L'!E4*E68</f>
        <v>431.8272</v>
      </c>
      <c r="F23" s="30" t="n">
        <f aca="false">'Annual P&amp;L'!F4*F68</f>
        <v>542.86848</v>
      </c>
      <c r="G23" s="30" t="n">
        <f aca="false">'Annual P&amp;L'!G4*G68</f>
        <v>641.263392</v>
      </c>
    </row>
    <row r="24" customFormat="false" ht="13.5" hidden="false" customHeight="true" outlineLevel="0" collapsed="false">
      <c r="A24" s="11" t="s">
        <v>65</v>
      </c>
      <c r="B24" s="29" t="n">
        <v>0</v>
      </c>
      <c r="C24" s="29" t="n">
        <v>0</v>
      </c>
      <c r="D24" s="29" t="n">
        <v>0</v>
      </c>
      <c r="E24" s="30" t="n">
        <f aca="false">D24</f>
        <v>0</v>
      </c>
      <c r="F24" s="30" t="n">
        <f aca="false">E24</f>
        <v>0</v>
      </c>
      <c r="G24" s="30" t="n">
        <f aca="false">F24</f>
        <v>0</v>
      </c>
    </row>
    <row r="25" customFormat="false" ht="13.5" hidden="false" customHeight="true" outlineLevel="0" collapsed="false">
      <c r="A25" s="11" t="s">
        <v>66</v>
      </c>
      <c r="B25" s="29" t="n">
        <f aca="false">SUM(B17:B24)</f>
        <v>1384</v>
      </c>
      <c r="C25" s="29" t="n">
        <f aca="false">SUM(C17:C24)</f>
        <v>1363</v>
      </c>
      <c r="D25" s="29" t="n">
        <f aca="false">SUM(D17:D24)</f>
        <v>3554</v>
      </c>
      <c r="E25" s="30" t="n">
        <f aca="false">SUM(E17:E24)</f>
        <v>4539.85400547945</v>
      </c>
      <c r="F25" s="30" t="n">
        <f aca="false">SUM(F17:F24)</f>
        <v>4641.49576984932</v>
      </c>
      <c r="G25" s="30" t="n">
        <f aca="false">SUM(G17:G24)</f>
        <v>5141.6433294661</v>
      </c>
    </row>
    <row r="26" customFormat="false" ht="13.5" hidden="false" customHeight="true" outlineLevel="0" collapsed="false">
      <c r="A26" s="11"/>
      <c r="B26" s="31"/>
      <c r="C26" s="31"/>
      <c r="D26" s="31"/>
      <c r="E26" s="30"/>
      <c r="F26" s="30"/>
      <c r="G26" s="30"/>
    </row>
    <row r="27" customFormat="false" ht="13.5" hidden="false" customHeight="true" outlineLevel="0" collapsed="false">
      <c r="A27" s="11" t="s">
        <v>67</v>
      </c>
      <c r="B27" s="29" t="n">
        <f aca="false">B14+B25</f>
        <v>1914</v>
      </c>
      <c r="C27" s="29" t="n">
        <f aca="false">C14+C25</f>
        <v>2101</v>
      </c>
      <c r="D27" s="29" t="n">
        <f aca="false">D14+D25</f>
        <v>4721</v>
      </c>
      <c r="E27" s="30" t="n">
        <f aca="false">E25+E14</f>
        <v>6292.62200547945</v>
      </c>
      <c r="F27" s="30" t="n">
        <f aca="false">F25+F14</f>
        <v>6893.77495784932</v>
      </c>
      <c r="G27" s="30" t="n">
        <f aca="false">G25+G14</f>
        <v>7758.7357763861</v>
      </c>
    </row>
    <row r="28" customFormat="false" ht="13.5" hidden="false" customHeight="true" outlineLevel="0" collapsed="false">
      <c r="A28" s="11"/>
      <c r="B28" s="31"/>
      <c r="C28" s="31"/>
      <c r="D28" s="31"/>
      <c r="E28" s="30"/>
      <c r="F28" s="30"/>
      <c r="G28" s="30"/>
    </row>
    <row r="29" customFormat="false" ht="13.5" hidden="false" customHeight="true" outlineLevel="0" collapsed="false">
      <c r="A29" s="11"/>
      <c r="B29" s="31"/>
      <c r="C29" s="31"/>
      <c r="D29" s="31"/>
      <c r="E29" s="30"/>
      <c r="F29" s="30"/>
      <c r="G29" s="30"/>
    </row>
    <row r="30" customFormat="false" ht="13.5" hidden="false" customHeight="true" outlineLevel="0" collapsed="false">
      <c r="A30" s="26" t="s">
        <v>68</v>
      </c>
      <c r="B30" s="27"/>
      <c r="C30" s="27"/>
      <c r="D30" s="27"/>
      <c r="E30" s="28"/>
      <c r="F30" s="28"/>
      <c r="G30" s="28"/>
    </row>
    <row r="31" customFormat="false" ht="13.5" hidden="false" customHeight="true" outlineLevel="0" collapsed="false">
      <c r="A31" s="11" t="s">
        <v>69</v>
      </c>
      <c r="B31" s="29" t="n">
        <v>0</v>
      </c>
      <c r="C31" s="29" t="n">
        <v>29</v>
      </c>
      <c r="D31" s="29" t="n">
        <v>38</v>
      </c>
      <c r="E31" s="30" t="n">
        <f aca="false">D31+10.8</f>
        <v>48.8</v>
      </c>
      <c r="F31" s="30" t="n">
        <f aca="false">E31</f>
        <v>48.8</v>
      </c>
      <c r="G31" s="30" t="n">
        <f aca="false">F31</f>
        <v>48.8</v>
      </c>
    </row>
    <row r="32" customFormat="false" ht="13.5" hidden="false" customHeight="true" outlineLevel="0" collapsed="false">
      <c r="A32" s="11" t="s">
        <v>70</v>
      </c>
      <c r="B32" s="29" t="n">
        <v>545</v>
      </c>
      <c r="C32" s="29" t="n">
        <v>464</v>
      </c>
      <c r="D32" s="29" t="n">
        <v>2534</v>
      </c>
      <c r="E32" s="30" t="n">
        <f aca="false">D32+'Annual P&amp;L'!E32+1289.2</f>
        <v>3722.864</v>
      </c>
      <c r="F32" s="30" t="n">
        <f aca="false">E32+'Annual P&amp;L'!F32</f>
        <v>3915.58998557534</v>
      </c>
      <c r="G32" s="30" t="n">
        <f aca="false">F32+'Annual P&amp;L'!G32</f>
        <v>4377.5995639587</v>
      </c>
    </row>
    <row r="33" customFormat="false" ht="13.5" hidden="false" customHeight="true" outlineLevel="0" collapsed="false">
      <c r="A33" s="11" t="s">
        <v>71</v>
      </c>
      <c r="B33" s="29" t="n">
        <f aca="false">B31+B32</f>
        <v>545</v>
      </c>
      <c r="C33" s="29" t="n">
        <f aca="false">C31+C32</f>
        <v>493</v>
      </c>
      <c r="D33" s="29" t="n">
        <f aca="false">D31+D32</f>
        <v>2572</v>
      </c>
      <c r="E33" s="30" t="n">
        <f aca="false">E31+E32</f>
        <v>3771.664</v>
      </c>
      <c r="F33" s="30" t="n">
        <f aca="false">F31+F32</f>
        <v>3964.38998557534</v>
      </c>
      <c r="G33" s="30" t="n">
        <f aca="false">G31+G32</f>
        <v>4426.3995639587</v>
      </c>
    </row>
    <row r="34" customFormat="false" ht="13.5" hidden="false" customHeight="true" outlineLevel="0" collapsed="false">
      <c r="A34" s="11"/>
      <c r="B34" s="31"/>
      <c r="C34" s="31"/>
      <c r="D34" s="31"/>
      <c r="E34" s="30"/>
      <c r="F34" s="30"/>
      <c r="G34" s="30"/>
    </row>
    <row r="35" customFormat="false" ht="13.5" hidden="false" customHeight="true" outlineLevel="0" collapsed="false">
      <c r="A35" s="26" t="s">
        <v>72</v>
      </c>
      <c r="B35" s="27"/>
      <c r="C35" s="27"/>
      <c r="D35" s="27"/>
      <c r="E35" s="28"/>
      <c r="F35" s="28"/>
      <c r="G35" s="28"/>
    </row>
    <row r="36" customFormat="false" ht="13.5" hidden="false" customHeight="true" outlineLevel="0" collapsed="false">
      <c r="A36" s="11" t="s">
        <v>73</v>
      </c>
      <c r="B36" s="29" t="n">
        <v>40</v>
      </c>
      <c r="C36" s="29" t="n">
        <v>50</v>
      </c>
      <c r="D36" s="29" t="n">
        <v>70</v>
      </c>
      <c r="E36" s="30" t="n">
        <f aca="false">D36</f>
        <v>70</v>
      </c>
      <c r="F36" s="30" t="n">
        <f aca="false">E36</f>
        <v>70</v>
      </c>
      <c r="G36" s="30" t="n">
        <f aca="false">F36</f>
        <v>70</v>
      </c>
    </row>
    <row r="37" customFormat="false" ht="13.5" hidden="false" customHeight="true" outlineLevel="0" collapsed="false">
      <c r="A37" s="11" t="s">
        <v>74</v>
      </c>
      <c r="B37" s="29" t="n">
        <v>0</v>
      </c>
      <c r="C37" s="29" t="n">
        <v>0</v>
      </c>
      <c r="D37" s="29" t="n">
        <v>0</v>
      </c>
      <c r="E37" s="30" t="n">
        <f aca="false">D37</f>
        <v>0</v>
      </c>
      <c r="F37" s="30" t="n">
        <f aca="false">E37</f>
        <v>0</v>
      </c>
      <c r="G37" s="30" t="n">
        <f aca="false">F37</f>
        <v>0</v>
      </c>
    </row>
    <row r="38" customFormat="false" ht="13.5" hidden="false" customHeight="true" outlineLevel="0" collapsed="false">
      <c r="A38" s="11" t="s">
        <v>75</v>
      </c>
      <c r="B38" s="29" t="n">
        <v>15</v>
      </c>
      <c r="C38" s="29" t="n">
        <v>20</v>
      </c>
      <c r="D38" s="29" t="n">
        <v>30</v>
      </c>
      <c r="E38" s="30" t="n">
        <f aca="false">D38</f>
        <v>30</v>
      </c>
      <c r="F38" s="30" t="n">
        <f aca="false">E38</f>
        <v>30</v>
      </c>
      <c r="G38" s="30" t="n">
        <f aca="false">F38</f>
        <v>30</v>
      </c>
    </row>
    <row r="39" customFormat="false" ht="13.5" hidden="false" customHeight="true" outlineLevel="0" collapsed="false">
      <c r="A39" s="11" t="s">
        <v>76</v>
      </c>
      <c r="B39" s="29" t="n">
        <v>0</v>
      </c>
      <c r="C39" s="29" t="n">
        <v>0</v>
      </c>
      <c r="D39" s="29" t="n">
        <v>0</v>
      </c>
      <c r="E39" s="30" t="n">
        <f aca="false">D39</f>
        <v>0</v>
      </c>
      <c r="F39" s="30" t="n">
        <f aca="false">E39</f>
        <v>0</v>
      </c>
      <c r="G39" s="30" t="n">
        <f aca="false">F39</f>
        <v>0</v>
      </c>
    </row>
    <row r="40" customFormat="false" ht="13.5" hidden="false" customHeight="true" outlineLevel="0" collapsed="false">
      <c r="A40" s="11" t="s">
        <v>77</v>
      </c>
      <c r="B40" s="29" t="n">
        <f aca="false">SUM(B36:B39)</f>
        <v>55</v>
      </c>
      <c r="C40" s="29" t="n">
        <f aca="false">SUM(C36:C39)</f>
        <v>70</v>
      </c>
      <c r="D40" s="29" t="n">
        <f aca="false">SUM(D36:D39)</f>
        <v>100</v>
      </c>
      <c r="E40" s="30" t="n">
        <f aca="false">SUM(E36:E39)</f>
        <v>100</v>
      </c>
      <c r="F40" s="30" t="n">
        <f aca="false">SUM(F36:F39)</f>
        <v>100</v>
      </c>
      <c r="G40" s="30" t="n">
        <f aca="false">SUM(G36:G39)</f>
        <v>100</v>
      </c>
    </row>
    <row r="41" customFormat="false" ht="13.5" hidden="false" customHeight="true" outlineLevel="0" collapsed="false">
      <c r="A41" s="11"/>
      <c r="B41" s="31"/>
      <c r="C41" s="31"/>
      <c r="D41" s="31"/>
      <c r="E41" s="30"/>
      <c r="F41" s="30"/>
      <c r="G41" s="30"/>
    </row>
    <row r="42" customFormat="false" ht="13.5" hidden="false" customHeight="true" outlineLevel="0" collapsed="false">
      <c r="A42" s="26" t="s">
        <v>78</v>
      </c>
      <c r="B42" s="27"/>
      <c r="C42" s="27"/>
      <c r="D42" s="27"/>
      <c r="E42" s="28"/>
      <c r="F42" s="28"/>
      <c r="G42" s="28"/>
    </row>
    <row r="43" customFormat="false" ht="13.5" hidden="false" customHeight="true" outlineLevel="0" collapsed="false">
      <c r="A43" s="11" t="s">
        <v>79</v>
      </c>
      <c r="B43" s="29" t="n">
        <v>478</v>
      </c>
      <c r="C43" s="29" t="n">
        <v>619</v>
      </c>
      <c r="D43" s="29" t="n">
        <v>664</v>
      </c>
      <c r="E43" s="30" t="n">
        <f aca="false">E94</f>
        <v>614</v>
      </c>
      <c r="F43" s="30" t="n">
        <f aca="false">F94</f>
        <v>564</v>
      </c>
      <c r="G43" s="30" t="n">
        <f aca="false">G94</f>
        <v>514</v>
      </c>
    </row>
    <row r="44" customFormat="false" ht="13.5" hidden="false" customHeight="true" outlineLevel="0" collapsed="false">
      <c r="A44" s="11" t="s">
        <v>80</v>
      </c>
      <c r="B44" s="29" t="n">
        <v>20</v>
      </c>
      <c r="C44" s="29" t="n">
        <v>25</v>
      </c>
      <c r="D44" s="29" t="n">
        <v>30</v>
      </c>
      <c r="E44" s="30" t="n">
        <f aca="false">D44</f>
        <v>30</v>
      </c>
      <c r="F44" s="30" t="n">
        <f aca="false">E44</f>
        <v>30</v>
      </c>
      <c r="G44" s="30" t="n">
        <f aca="false">F44</f>
        <v>30</v>
      </c>
    </row>
    <row r="45" customFormat="false" ht="13.5" hidden="false" customHeight="true" outlineLevel="0" collapsed="false">
      <c r="A45" s="11" t="s">
        <v>81</v>
      </c>
      <c r="B45" s="29" t="n">
        <v>388</v>
      </c>
      <c r="C45" s="29" t="n">
        <v>536</v>
      </c>
      <c r="D45" s="29" t="n">
        <v>888</v>
      </c>
      <c r="E45" s="30" t="n">
        <f aca="false">-('Annual P&amp;L'!E11+'Annual P&amp;L'!E12+'Annual P&amp;L'!E13)*E67/365</f>
        <v>1201.67960547945</v>
      </c>
      <c r="F45" s="30" t="n">
        <f aca="false">-('Annual P&amp;L'!F11+'Annual P&amp;L'!F12+'Annual P&amp;L'!F13)*F67/365</f>
        <v>1560.37505227397</v>
      </c>
      <c r="G45" s="30" t="n">
        <f aca="false">-('Annual P&amp;L'!G11+'Annual P&amp;L'!G12+'Annual P&amp;L'!G13)*G67/365</f>
        <v>1932.5746060274</v>
      </c>
    </row>
    <row r="46" customFormat="false" ht="13.5" hidden="false" customHeight="true" outlineLevel="0" collapsed="false">
      <c r="A46" s="11" t="s">
        <v>82</v>
      </c>
      <c r="B46" s="29" t="n">
        <v>70</v>
      </c>
      <c r="C46" s="29" t="n">
        <v>80</v>
      </c>
      <c r="D46" s="29" t="n">
        <v>100</v>
      </c>
      <c r="E46" s="30" t="n">
        <f aca="false">D46</f>
        <v>100</v>
      </c>
      <c r="F46" s="30" t="n">
        <f aca="false">E46</f>
        <v>100</v>
      </c>
      <c r="G46" s="30" t="n">
        <f aca="false">F46</f>
        <v>100</v>
      </c>
    </row>
    <row r="47" customFormat="false" ht="13.5" hidden="false" customHeight="true" outlineLevel="0" collapsed="false">
      <c r="A47" s="11" t="s">
        <v>83</v>
      </c>
      <c r="B47" s="29" t="n">
        <v>298</v>
      </c>
      <c r="C47" s="29" t="n">
        <v>233</v>
      </c>
      <c r="D47" s="29" t="n">
        <v>267</v>
      </c>
      <c r="E47" s="30" t="n">
        <f aca="false">'Annual P&amp;L'!E4*E69</f>
        <v>375.2784</v>
      </c>
      <c r="F47" s="30" t="n">
        <f aca="false">'Annual P&amp;L'!F4*F69</f>
        <v>475.00992</v>
      </c>
      <c r="G47" s="30" t="n">
        <f aca="false">'Annual P&amp;L'!G4*G69</f>
        <v>555.7616064</v>
      </c>
    </row>
    <row r="48" customFormat="false" ht="13.5" hidden="false" customHeight="true" outlineLevel="0" collapsed="false">
      <c r="A48" s="11" t="s">
        <v>84</v>
      </c>
      <c r="B48" s="29" t="n">
        <v>60</v>
      </c>
      <c r="C48" s="29" t="n">
        <v>50</v>
      </c>
      <c r="D48" s="29" t="n">
        <v>100</v>
      </c>
      <c r="E48" s="30" t="n">
        <f aca="false">D48</f>
        <v>100</v>
      </c>
      <c r="F48" s="30" t="n">
        <f aca="false">E48</f>
        <v>100</v>
      </c>
      <c r="G48" s="30" t="n">
        <f aca="false">F48</f>
        <v>100</v>
      </c>
    </row>
    <row r="49" customFormat="false" ht="13.5" hidden="false" customHeight="true" outlineLevel="0" collapsed="false">
      <c r="A49" s="11" t="s">
        <v>85</v>
      </c>
      <c r="B49" s="29" t="n">
        <v>0</v>
      </c>
      <c r="C49" s="29" t="n">
        <v>0</v>
      </c>
      <c r="D49" s="29" t="n">
        <v>0</v>
      </c>
      <c r="E49" s="30" t="n">
        <f aca="false">D49</f>
        <v>0</v>
      </c>
      <c r="F49" s="30" t="n">
        <f aca="false">E49</f>
        <v>0</v>
      </c>
      <c r="G49" s="30" t="n">
        <f aca="false">F49</f>
        <v>0</v>
      </c>
    </row>
    <row r="50" customFormat="false" ht="13.5" hidden="false" customHeight="true" outlineLevel="0" collapsed="false">
      <c r="A50" s="11" t="s">
        <v>86</v>
      </c>
      <c r="B50" s="29" t="n">
        <f aca="false">SUM(B43:B49)</f>
        <v>1314</v>
      </c>
      <c r="C50" s="29" t="n">
        <f aca="false">SUM(C43:C49)</f>
        <v>1543</v>
      </c>
      <c r="D50" s="29" t="n">
        <f aca="false">SUM(D43:D49)</f>
        <v>2049</v>
      </c>
      <c r="E50" s="30" t="n">
        <f aca="false">SUM(E43:E49)</f>
        <v>2420.95800547945</v>
      </c>
      <c r="F50" s="30" t="n">
        <f aca="false">SUM(F43:F49)</f>
        <v>2829.38497227397</v>
      </c>
      <c r="G50" s="30" t="n">
        <f aca="false">SUM(G43:G49)</f>
        <v>3232.3362124274</v>
      </c>
    </row>
    <row r="51" customFormat="false" ht="13.5" hidden="false" customHeight="true" outlineLevel="0" collapsed="false">
      <c r="A51" s="11"/>
      <c r="B51" s="31"/>
      <c r="C51" s="31"/>
      <c r="D51" s="31"/>
      <c r="E51" s="30"/>
      <c r="F51" s="30"/>
      <c r="G51" s="30"/>
    </row>
    <row r="52" customFormat="false" ht="13.5" hidden="false" customHeight="true" outlineLevel="0" collapsed="false">
      <c r="A52" s="11" t="s">
        <v>87</v>
      </c>
      <c r="B52" s="29" t="n">
        <f aca="false">B50+B40</f>
        <v>1369</v>
      </c>
      <c r="C52" s="29" t="n">
        <f aca="false">C50+C40</f>
        <v>1613</v>
      </c>
      <c r="D52" s="29" t="n">
        <f aca="false">D50+D40</f>
        <v>2149</v>
      </c>
      <c r="E52" s="30" t="n">
        <f aca="false">E50+E40</f>
        <v>2520.95800547945</v>
      </c>
      <c r="F52" s="30" t="n">
        <f aca="false">F50+F40</f>
        <v>2929.38497227397</v>
      </c>
      <c r="G52" s="30" t="n">
        <f aca="false">G50+G40</f>
        <v>3332.3362124274</v>
      </c>
    </row>
    <row r="53" customFormat="false" ht="13.5" hidden="false" customHeight="true" outlineLevel="0" collapsed="false">
      <c r="A53" s="11" t="s">
        <v>88</v>
      </c>
      <c r="B53" s="29" t="n">
        <f aca="false">B52+B33</f>
        <v>1914</v>
      </c>
      <c r="C53" s="29" t="n">
        <f aca="false">C52+C33</f>
        <v>2106</v>
      </c>
      <c r="D53" s="29" t="n">
        <f aca="false">D52+D33</f>
        <v>4721</v>
      </c>
      <c r="E53" s="30" t="n">
        <f aca="false">E52+E33</f>
        <v>6292.62200547945</v>
      </c>
      <c r="F53" s="30" t="n">
        <f aca="false">F52+F33</f>
        <v>6893.77495784932</v>
      </c>
      <c r="G53" s="30" t="n">
        <f aca="false">G52+G33</f>
        <v>7758.7357763861</v>
      </c>
    </row>
    <row r="54" customFormat="false" ht="13.5" hidden="false" customHeight="true" outlineLevel="0" collapsed="false">
      <c r="A54" s="11"/>
      <c r="B54" s="31"/>
      <c r="C54" s="31"/>
      <c r="D54" s="31"/>
      <c r="E54" s="30"/>
      <c r="F54" s="30"/>
      <c r="G54" s="30"/>
    </row>
    <row r="55" customFormat="false" ht="13.5" hidden="false" customHeight="true" outlineLevel="0" collapsed="false">
      <c r="A55" s="11" t="s">
        <v>89</v>
      </c>
      <c r="B55" s="32" t="n">
        <f aca="false">ROUND(B27-B53,2)</f>
        <v>0</v>
      </c>
      <c r="C55" s="32" t="n">
        <f aca="false">ROUND(C27-C53,2)</f>
        <v>-5</v>
      </c>
      <c r="D55" s="32" t="n">
        <f aca="false">ROUND(D27-D53,2)</f>
        <v>0</v>
      </c>
      <c r="E55" s="33" t="n">
        <f aca="false">ROUND(E27-E53,2)</f>
        <v>0</v>
      </c>
      <c r="F55" s="33" t="n">
        <f aca="false">ROUND(F27-F53,2)</f>
        <v>0</v>
      </c>
      <c r="G55" s="33" t="n">
        <f aca="false">ROUND(G27-G53,2)</f>
        <v>0</v>
      </c>
    </row>
    <row r="56" customFormat="false" ht="13.5" hidden="false" customHeight="true" outlineLevel="0" collapsed="false">
      <c r="A56" s="11"/>
      <c r="B56" s="31"/>
      <c r="C56" s="31"/>
      <c r="D56" s="31"/>
      <c r="E56" s="30"/>
      <c r="F56" s="30"/>
      <c r="G56" s="30"/>
    </row>
    <row r="57" customFormat="false" ht="13.5" hidden="false" customHeight="true" outlineLevel="0" collapsed="false">
      <c r="A57" s="11"/>
      <c r="B57" s="31"/>
      <c r="C57" s="31"/>
      <c r="D57" s="31"/>
      <c r="E57" s="30"/>
      <c r="F57" s="30"/>
      <c r="G57" s="30"/>
    </row>
    <row r="58" customFormat="false" ht="13.5" hidden="false" customHeight="true" outlineLevel="0" collapsed="false">
      <c r="A58" s="11"/>
      <c r="B58" s="31"/>
      <c r="C58" s="31"/>
      <c r="D58" s="31"/>
      <c r="E58" s="30"/>
      <c r="F58" s="30"/>
      <c r="G58" s="30"/>
    </row>
    <row r="59" customFormat="false" ht="13.5" hidden="false" customHeight="true" outlineLevel="0" collapsed="false">
      <c r="A59" s="11"/>
      <c r="B59" s="31"/>
      <c r="C59" s="31"/>
      <c r="D59" s="31"/>
      <c r="E59" s="30"/>
      <c r="F59" s="30"/>
      <c r="G59" s="30"/>
    </row>
    <row r="60" customFormat="false" ht="13.5" hidden="false" customHeight="true" outlineLevel="0" collapsed="false">
      <c r="A60" s="11"/>
      <c r="B60" s="31"/>
      <c r="C60" s="31"/>
      <c r="D60" s="31"/>
      <c r="E60" s="30"/>
      <c r="F60" s="30"/>
      <c r="G60" s="30"/>
    </row>
    <row r="61" customFormat="false" ht="13.5" hidden="false" customHeight="true" outlineLevel="0" collapsed="false">
      <c r="A61" s="11"/>
      <c r="B61" s="31"/>
      <c r="C61" s="31"/>
      <c r="D61" s="31"/>
      <c r="E61" s="30"/>
      <c r="F61" s="30"/>
      <c r="G61" s="30"/>
    </row>
    <row r="62" customFormat="false" ht="13.5" hidden="false" customHeight="true" outlineLevel="0" collapsed="false">
      <c r="A62" s="11"/>
      <c r="B62" s="31"/>
      <c r="C62" s="31"/>
      <c r="D62" s="31"/>
      <c r="E62" s="30"/>
      <c r="F62" s="30"/>
      <c r="G62" s="30"/>
    </row>
    <row r="63" customFormat="false" ht="13.5" hidden="false" customHeight="true" outlineLevel="0" collapsed="false">
      <c r="A63" s="26" t="s">
        <v>90</v>
      </c>
      <c r="B63" s="27"/>
      <c r="C63" s="27"/>
      <c r="D63" s="27"/>
      <c r="E63" s="28"/>
      <c r="F63" s="28"/>
      <c r="G63" s="28"/>
    </row>
    <row r="64" customFormat="false" ht="13.5" hidden="false" customHeight="true" outlineLevel="0" collapsed="false">
      <c r="A64" s="34" t="s">
        <v>2</v>
      </c>
      <c r="B64" s="35" t="s">
        <v>3</v>
      </c>
      <c r="C64" s="35" t="s">
        <v>4</v>
      </c>
      <c r="D64" s="35" t="s">
        <v>5</v>
      </c>
      <c r="E64" s="35" t="s">
        <v>6</v>
      </c>
      <c r="F64" s="35" t="s">
        <v>7</v>
      </c>
      <c r="G64" s="35" t="s">
        <v>8</v>
      </c>
    </row>
    <row r="65" customFormat="false" ht="13.5" hidden="false" customHeight="true" outlineLevel="0" collapsed="false">
      <c r="A65" s="11" t="s">
        <v>91</v>
      </c>
      <c r="B65" s="29" t="n">
        <f aca="false">B19/'Annual P&amp;L'!B4*365</f>
        <v>2.08095781071836</v>
      </c>
      <c r="C65" s="29" t="n">
        <f aca="false">C19/'Annual P&amp;L'!C4*365</f>
        <v>1.94235033259424</v>
      </c>
      <c r="D65" s="29" t="n">
        <f aca="false">D19/'Annual P&amp;L'!D4*365</f>
        <v>0.99400871459695</v>
      </c>
      <c r="E65" s="30" t="n">
        <v>1</v>
      </c>
      <c r="F65" s="30" t="n">
        <v>1</v>
      </c>
      <c r="G65" s="30" t="n">
        <v>1</v>
      </c>
    </row>
    <row r="66" customFormat="false" ht="13.5" hidden="false" customHeight="true" outlineLevel="0" collapsed="false">
      <c r="A66" s="11" t="s">
        <v>92</v>
      </c>
      <c r="B66" s="29" t="n">
        <f aca="false">B17/SUM('Annual P&amp;L'!B11:B13)*365</f>
        <v>-50.0185185185185</v>
      </c>
      <c r="C66" s="29" t="n">
        <f aca="false">C17/SUM('Annual P&amp;L'!C11:C13)*365</f>
        <v>-47.9292929292929</v>
      </c>
      <c r="D66" s="29" t="n">
        <f aca="false">D17/SUM('Annual P&amp;L'!D11:D13)*365</f>
        <v>-34.9781439139207</v>
      </c>
      <c r="E66" s="30" t="n">
        <v>34</v>
      </c>
      <c r="F66" s="30" t="n">
        <v>33</v>
      </c>
      <c r="G66" s="30" t="n">
        <v>32</v>
      </c>
    </row>
    <row r="67" customFormat="false" ht="13.5" hidden="false" customHeight="true" outlineLevel="0" collapsed="false">
      <c r="A67" s="11" t="s">
        <v>93</v>
      </c>
      <c r="B67" s="29" t="n">
        <f aca="false">B45/SUM('Annual P&amp;L'!B11:B13)*365</f>
        <v>-104.903703703704</v>
      </c>
      <c r="C67" s="29" t="n">
        <f aca="false">C45/SUM('Annual P&amp;L'!C11:C13)*365</f>
        <v>-109.786756453423</v>
      </c>
      <c r="D67" s="29" t="n">
        <f aca="false">D45/SUM('Annual P&amp;L'!D11:D13)*365</f>
        <v>-108.984532616005</v>
      </c>
      <c r="E67" s="30" t="n">
        <v>108</v>
      </c>
      <c r="F67" s="30" t="n">
        <v>109</v>
      </c>
      <c r="G67" s="30" t="n">
        <v>110</v>
      </c>
    </row>
    <row r="68" customFormat="false" ht="13.5" hidden="false" customHeight="true" outlineLevel="0" collapsed="false">
      <c r="A68" s="11" t="s">
        <v>94</v>
      </c>
      <c r="B68" s="36" t="n">
        <f aca="false">B23/'Annual P&amp;L'!B4</f>
        <v>0.0553021664766249</v>
      </c>
      <c r="C68" s="36" t="n">
        <f aca="false">C23/'Annual P&amp;L'!C4</f>
        <v>0.0337028824833703</v>
      </c>
      <c r="D68" s="36" t="n">
        <f aca="false">D23/'Annual P&amp;L'!D4</f>
        <v>0.0836056644880174</v>
      </c>
      <c r="E68" s="37" t="n">
        <v>0.084</v>
      </c>
      <c r="F68" s="37" t="n">
        <v>0.08</v>
      </c>
      <c r="G68" s="37" t="n">
        <v>0.075</v>
      </c>
    </row>
    <row r="69" customFormat="false" ht="13.5" hidden="false" customHeight="true" outlineLevel="0" collapsed="false">
      <c r="A69" s="11" t="s">
        <v>95</v>
      </c>
      <c r="B69" s="36" t="n">
        <f aca="false">B47/'Annual P&amp;L'!B4</f>
        <v>0.169897377423033</v>
      </c>
      <c r="C69" s="36" t="n">
        <f aca="false">C47/'Annual P&amp;L'!C4</f>
        <v>0.103325942350333</v>
      </c>
      <c r="D69" s="36" t="n">
        <f aca="false">D47/'Annual P&amp;L'!D4</f>
        <v>0.0727124183006536</v>
      </c>
      <c r="E69" s="37" t="n">
        <v>0.073</v>
      </c>
      <c r="F69" s="37" t="n">
        <v>0.07</v>
      </c>
      <c r="G69" s="37" t="n">
        <v>0.065</v>
      </c>
    </row>
    <row r="70" customFormat="false" ht="13.5" hidden="false" customHeight="true" outlineLevel="0" collapsed="false">
      <c r="A70" s="11" t="s">
        <v>96</v>
      </c>
      <c r="B70" s="31" t="n">
        <f aca="false">B17+B19+B23-B45-B47</f>
        <v>-394</v>
      </c>
      <c r="C70" s="31" t="n">
        <f aca="false">C17+C19+C23-C45-C47</f>
        <v>-447</v>
      </c>
      <c r="D70" s="31" t="n">
        <f aca="false">D17+D19+D23-D45-D47</f>
        <v>-553</v>
      </c>
      <c r="E70" s="30" t="n">
        <f aca="false">E17+E19+E23-E45-E47</f>
        <v>-752.739879452055</v>
      </c>
      <c r="F70" s="30" t="n">
        <f aca="false">F17+F19+F23-F45-F47</f>
        <v>-1001.51798005479</v>
      </c>
      <c r="G70" s="30" t="n">
        <f aca="false">G17+G19+G23-G45-G47</f>
        <v>-1261.44415193425</v>
      </c>
    </row>
    <row r="71" customFormat="false" ht="13.5" hidden="false" customHeight="true" outlineLevel="0" collapsed="false">
      <c r="A71" s="11" t="s">
        <v>97</v>
      </c>
      <c r="B71" s="29" t="n">
        <f aca="false">B70/'Annual P&amp;L'!B4*365</f>
        <v>-81.9897377423033</v>
      </c>
      <c r="C71" s="29" t="n">
        <f aca="false">C70/'Annual P&amp;L'!C4*365</f>
        <v>-72.3525498891353</v>
      </c>
      <c r="D71" s="29" t="n">
        <f aca="false">D70/'Annual P&amp;L'!D4*365</f>
        <v>-54.9686819172113</v>
      </c>
      <c r="E71" s="30" t="n">
        <f aca="false">E70/'Annual P&amp;L'!E4*365</f>
        <v>-53.445</v>
      </c>
      <c r="F71" s="30" t="n">
        <f aca="false">F70/'Annual P&amp;L'!F4*365</f>
        <v>-53.87</v>
      </c>
      <c r="G71" s="30" t="n">
        <f aca="false">G70/'Annual P&amp;L'!G4*365</f>
        <v>-53.85</v>
      </c>
    </row>
    <row r="72" customFormat="false" ht="13.5" hidden="false" customHeight="true" outlineLevel="0" collapsed="false">
      <c r="A72" s="11"/>
      <c r="B72" s="31"/>
      <c r="C72" s="31"/>
      <c r="D72" s="31"/>
      <c r="E72" s="30"/>
      <c r="F72" s="30"/>
      <c r="G72" s="30"/>
    </row>
    <row r="73" customFormat="false" ht="13.5" hidden="false" customHeight="true" outlineLevel="0" collapsed="false">
      <c r="A73" s="11"/>
      <c r="B73" s="31"/>
      <c r="C73" s="31"/>
      <c r="D73" s="31"/>
      <c r="E73" s="30"/>
      <c r="F73" s="30"/>
      <c r="G73" s="30"/>
    </row>
    <row r="74" customFormat="false" ht="13.5" hidden="false" customHeight="true" outlineLevel="0" collapsed="false">
      <c r="A74" s="26" t="s">
        <v>98</v>
      </c>
      <c r="B74" s="27"/>
      <c r="C74" s="27"/>
      <c r="D74" s="27"/>
      <c r="E74" s="28"/>
      <c r="F74" s="28"/>
      <c r="G74" s="28"/>
    </row>
    <row r="75" customFormat="false" ht="13.5" hidden="false" customHeight="true" outlineLevel="0" collapsed="false">
      <c r="A75" s="34" t="s">
        <v>2</v>
      </c>
      <c r="B75" s="35" t="s">
        <v>3</v>
      </c>
      <c r="C75" s="35" t="s">
        <v>4</v>
      </c>
      <c r="D75" s="35" t="s">
        <v>5</v>
      </c>
      <c r="E75" s="35" t="s">
        <v>6</v>
      </c>
      <c r="F75" s="35" t="s">
        <v>7</v>
      </c>
      <c r="G75" s="35" t="s">
        <v>8</v>
      </c>
    </row>
    <row r="76" customFormat="false" ht="13.5" hidden="false" customHeight="true" outlineLevel="0" collapsed="false">
      <c r="A76" s="26" t="s">
        <v>99</v>
      </c>
      <c r="B76" s="27"/>
      <c r="C76" s="27"/>
      <c r="D76" s="27"/>
      <c r="E76" s="28" t="n">
        <f aca="false">D5</f>
        <v>480</v>
      </c>
      <c r="F76" s="28" t="n">
        <f aca="false">E5</f>
        <v>631.6</v>
      </c>
      <c r="G76" s="28" t="n">
        <f aca="false">F5</f>
        <v>788.80508</v>
      </c>
    </row>
    <row r="77" customFormat="false" ht="13.5" hidden="false" customHeight="true" outlineLevel="0" collapsed="false">
      <c r="A77" s="26" t="s">
        <v>100</v>
      </c>
      <c r="B77" s="27"/>
      <c r="C77" s="27"/>
      <c r="D77" s="27"/>
      <c r="E77" s="28" t="n">
        <f aca="false">D6</f>
        <v>340</v>
      </c>
      <c r="F77" s="28" t="n">
        <f aca="false">E6</f>
        <v>784.008</v>
      </c>
      <c r="G77" s="28" t="n">
        <f aca="false">F6</f>
        <v>1142.5936</v>
      </c>
    </row>
    <row r="78" customFormat="false" ht="13.5" hidden="false" customHeight="true" outlineLevel="0" collapsed="false">
      <c r="A78" s="11" t="s">
        <v>101</v>
      </c>
      <c r="B78" s="29" t="n">
        <v>115</v>
      </c>
      <c r="C78" s="29" t="n">
        <v>339</v>
      </c>
      <c r="D78" s="29" t="n">
        <v>506</v>
      </c>
      <c r="E78" s="30" t="n">
        <f aca="false">'Annual P&amp;L'!E4*0.135</f>
        <v>694.008</v>
      </c>
      <c r="F78" s="30" t="n">
        <f aca="false">'Annual P&amp;L'!F4*0.1</f>
        <v>678.5856</v>
      </c>
      <c r="G78" s="30" t="n">
        <f aca="false">'Annual P&amp;L'!G4*0.07</f>
        <v>598.5124992</v>
      </c>
    </row>
    <row r="79" customFormat="false" ht="13.5" hidden="false" customHeight="true" outlineLevel="0" collapsed="false">
      <c r="A79" s="26" t="s">
        <v>102</v>
      </c>
      <c r="B79" s="27" t="n">
        <v>0</v>
      </c>
      <c r="C79" s="27" t="n">
        <v>0</v>
      </c>
      <c r="D79" s="27" t="n">
        <v>0</v>
      </c>
      <c r="E79" s="28" t="n">
        <v>150</v>
      </c>
      <c r="F79" s="28" t="n">
        <v>200</v>
      </c>
      <c r="G79" s="28" t="n">
        <v>300</v>
      </c>
    </row>
    <row r="80" customFormat="false" ht="13.5" hidden="false" customHeight="true" outlineLevel="0" collapsed="false">
      <c r="A80" s="26" t="s">
        <v>103</v>
      </c>
      <c r="B80" s="27" t="n">
        <v>0</v>
      </c>
      <c r="C80" s="27" t="n">
        <v>0</v>
      </c>
      <c r="D80" s="27" t="n">
        <v>0</v>
      </c>
      <c r="E80" s="28" t="n">
        <v>100</v>
      </c>
      <c r="F80" s="28" t="n">
        <v>120</v>
      </c>
      <c r="G80" s="28" t="n">
        <v>150</v>
      </c>
    </row>
    <row r="81" customFormat="false" ht="13.5" hidden="false" customHeight="true" outlineLevel="0" collapsed="false">
      <c r="A81" s="11" t="s">
        <v>104</v>
      </c>
      <c r="B81" s="31" t="n">
        <f aca="false">B5</f>
        <v>360</v>
      </c>
      <c r="C81" s="31" t="n">
        <f aca="false">C5</f>
        <v>470</v>
      </c>
      <c r="D81" s="31" t="n">
        <f aca="false">D5</f>
        <v>480</v>
      </c>
      <c r="E81" s="30" t="n">
        <f aca="false">D81+E79+E80-E83</f>
        <v>631.6</v>
      </c>
      <c r="F81" s="30" t="n">
        <f aca="false">E81+F79+F80-F83</f>
        <v>788.80508</v>
      </c>
      <c r="G81" s="30" t="n">
        <f aca="false">F81+G79+G80-G83</f>
        <v>1026.3512252</v>
      </c>
    </row>
    <row r="82" customFormat="false" ht="13.5" hidden="false" customHeight="true" outlineLevel="0" collapsed="false">
      <c r="A82" s="11" t="s">
        <v>105</v>
      </c>
      <c r="B82" s="31" t="n">
        <f aca="false">B6</f>
        <v>71</v>
      </c>
      <c r="C82" s="31" t="n">
        <f aca="false">C6</f>
        <v>122</v>
      </c>
      <c r="D82" s="31" t="n">
        <f aca="false">D6</f>
        <v>340</v>
      </c>
      <c r="E82" s="30" t="n">
        <f aca="false">D82+(E78-E80)-E79</f>
        <v>784.008</v>
      </c>
      <c r="F82" s="30" t="n">
        <f aca="false">E82+(F78-F80)-F79</f>
        <v>1142.5936</v>
      </c>
      <c r="G82" s="30" t="n">
        <f aca="false">F82+(G78-G80)-G79</f>
        <v>1291.1060992</v>
      </c>
    </row>
    <row r="83" customFormat="false" ht="13.5" hidden="false" customHeight="true" outlineLevel="0" collapsed="false">
      <c r="A83" s="26" t="s">
        <v>106</v>
      </c>
      <c r="B83" s="27"/>
      <c r="C83" s="27" t="n">
        <f aca="false">'Annual P&amp;L'!C19</f>
        <v>-171</v>
      </c>
      <c r="D83" s="27" t="n">
        <f aca="false">'Annual P&amp;L'!D19</f>
        <v>-173</v>
      </c>
      <c r="E83" s="28" t="n">
        <f aca="false">E84*SUM(D81:D82)</f>
        <v>98.4</v>
      </c>
      <c r="F83" s="28" t="n">
        <f aca="false">F84*SUM(E81:E82)</f>
        <v>162.79492</v>
      </c>
      <c r="G83" s="28" t="n">
        <f aca="false">G84*SUM(F81:F82)</f>
        <v>212.4538548</v>
      </c>
    </row>
    <row r="84" customFormat="false" ht="13.5" hidden="false" customHeight="true" outlineLevel="0" collapsed="false">
      <c r="A84" s="26" t="s">
        <v>107</v>
      </c>
      <c r="B84" s="27"/>
      <c r="C84" s="38" t="n">
        <f aca="false">C83/SUM(B81:B82)</f>
        <v>-0.396751740139211</v>
      </c>
      <c r="D84" s="38" t="n">
        <f aca="false">D83/SUM(C81:C82)</f>
        <v>-0.29222972972973</v>
      </c>
      <c r="E84" s="39" t="n">
        <v>0.12</v>
      </c>
      <c r="F84" s="39" t="n">
        <v>0.115</v>
      </c>
      <c r="G84" s="39" t="n">
        <v>0.11</v>
      </c>
    </row>
    <row r="85" customFormat="false" ht="13.5" hidden="false" customHeight="true" outlineLevel="0" collapsed="false">
      <c r="A85" s="11" t="s">
        <v>108</v>
      </c>
      <c r="B85" s="29" t="n">
        <f aca="false">'Annual P&amp;L'!B19</f>
        <v>-147</v>
      </c>
      <c r="C85" s="29" t="n">
        <f aca="false">'Annual P&amp;L'!C19</f>
        <v>-171</v>
      </c>
      <c r="D85" s="29" t="n">
        <f aca="false">'Annual P&amp;L'!D19</f>
        <v>-173</v>
      </c>
      <c r="E85" s="30" t="n">
        <f aca="false">E83*1.1</f>
        <v>108.24</v>
      </c>
      <c r="F85" s="30" t="n">
        <f aca="false">F83*1.1</f>
        <v>179.074412</v>
      </c>
      <c r="G85" s="30" t="n">
        <f aca="false">G83*1.1</f>
        <v>233.69924028</v>
      </c>
    </row>
    <row r="86" customFormat="false" ht="13.5" hidden="false" customHeight="true" outlineLevel="0" collapsed="false">
      <c r="A86" s="11" t="s">
        <v>109</v>
      </c>
      <c r="B86" s="31" t="n">
        <f aca="false">B7</f>
        <v>0</v>
      </c>
      <c r="C86" s="31" t="n">
        <f aca="false">C7</f>
        <v>0</v>
      </c>
      <c r="D86" s="31" t="n">
        <f aca="false">D7</f>
        <v>0</v>
      </c>
      <c r="E86" s="30" t="n">
        <f aca="false">D86</f>
        <v>0</v>
      </c>
      <c r="F86" s="30" t="n">
        <f aca="false">E86</f>
        <v>0</v>
      </c>
      <c r="G86" s="30" t="n">
        <f aca="false">F86</f>
        <v>0</v>
      </c>
    </row>
    <row r="87" customFormat="false" ht="13.5" hidden="false" customHeight="true" outlineLevel="0" collapsed="false">
      <c r="A87" s="11" t="s">
        <v>110</v>
      </c>
      <c r="B87" s="31" t="n">
        <f aca="false">B8</f>
        <v>65</v>
      </c>
      <c r="C87" s="31" t="n">
        <f aca="false">C8</f>
        <v>95</v>
      </c>
      <c r="D87" s="31" t="n">
        <f aca="false">D8</f>
        <v>100</v>
      </c>
      <c r="E87" s="30" t="n">
        <f aca="false">D87-(E85-E83)</f>
        <v>90.16</v>
      </c>
      <c r="F87" s="30" t="n">
        <f aca="false">E87-(F85-F83)</f>
        <v>73.880508</v>
      </c>
      <c r="G87" s="30" t="n">
        <f aca="false">F87-(G85-G83)</f>
        <v>52.63512252</v>
      </c>
    </row>
    <row r="88" customFormat="false" ht="13.5" hidden="false" customHeight="true" outlineLevel="0" collapsed="false">
      <c r="A88" s="11" t="s">
        <v>111</v>
      </c>
      <c r="B88" s="31" t="n">
        <f aca="false">B9</f>
        <v>34</v>
      </c>
      <c r="C88" s="31" t="n">
        <f aca="false">C9</f>
        <v>51</v>
      </c>
      <c r="D88" s="31" t="n">
        <f aca="false">D9</f>
        <v>47</v>
      </c>
      <c r="E88" s="30" t="n">
        <f aca="false">D88</f>
        <v>47</v>
      </c>
      <c r="F88" s="30" t="n">
        <f aca="false">E88</f>
        <v>47</v>
      </c>
      <c r="G88" s="30" t="n">
        <f aca="false">F88</f>
        <v>47</v>
      </c>
    </row>
    <row r="89" customFormat="false" ht="13.5" hidden="false" customHeight="true" outlineLevel="0" collapsed="false">
      <c r="A89" s="11"/>
      <c r="B89" s="31"/>
      <c r="C89" s="31"/>
      <c r="D89" s="31"/>
      <c r="E89" s="30"/>
      <c r="F89" s="30"/>
      <c r="G89" s="30"/>
    </row>
    <row r="90" customFormat="false" ht="13.5" hidden="false" customHeight="true" outlineLevel="0" collapsed="false">
      <c r="A90" s="11"/>
      <c r="B90" s="31"/>
      <c r="C90" s="31"/>
      <c r="D90" s="31"/>
      <c r="E90" s="30"/>
      <c r="F90" s="30"/>
      <c r="G90" s="30"/>
    </row>
    <row r="91" customFormat="false" ht="13.5" hidden="false" customHeight="true" outlineLevel="0" collapsed="false">
      <c r="A91" s="26" t="s">
        <v>112</v>
      </c>
      <c r="B91" s="27"/>
      <c r="C91" s="27"/>
      <c r="D91" s="27"/>
      <c r="E91" s="28"/>
      <c r="F91" s="28"/>
      <c r="G91" s="28"/>
    </row>
    <row r="92" customFormat="false" ht="13.5" hidden="false" customHeight="true" outlineLevel="0" collapsed="false">
      <c r="A92" s="34" t="s">
        <v>2</v>
      </c>
      <c r="B92" s="35" t="s">
        <v>3</v>
      </c>
      <c r="C92" s="35" t="s">
        <v>4</v>
      </c>
      <c r="D92" s="35" t="s">
        <v>5</v>
      </c>
      <c r="E92" s="35" t="s">
        <v>6</v>
      </c>
      <c r="F92" s="35" t="s">
        <v>7</v>
      </c>
      <c r="G92" s="35" t="s">
        <v>8</v>
      </c>
    </row>
    <row r="93" customFormat="false" ht="13.5" hidden="false" customHeight="true" outlineLevel="0" collapsed="false">
      <c r="A93" s="26" t="s">
        <v>113</v>
      </c>
      <c r="B93" s="27"/>
      <c r="C93" s="27"/>
      <c r="D93" s="27"/>
      <c r="E93" s="28" t="n">
        <f aca="false">D43</f>
        <v>664</v>
      </c>
      <c r="F93" s="28" t="n">
        <f aca="false">E43</f>
        <v>614</v>
      </c>
      <c r="G93" s="28" t="n">
        <f aca="false">F43</f>
        <v>564</v>
      </c>
    </row>
    <row r="94" customFormat="false" ht="13.5" hidden="false" customHeight="true" outlineLevel="0" collapsed="false">
      <c r="A94" s="11" t="s">
        <v>114</v>
      </c>
      <c r="B94" s="31" t="n">
        <f aca="false">B43</f>
        <v>478</v>
      </c>
      <c r="C94" s="31" t="n">
        <f aca="false">C43</f>
        <v>619</v>
      </c>
      <c r="D94" s="31" t="n">
        <f aca="false">D43</f>
        <v>664</v>
      </c>
      <c r="E94" s="30" t="n">
        <f aca="false">E93-E95</f>
        <v>614</v>
      </c>
      <c r="F94" s="30" t="n">
        <f aca="false">F93-F95</f>
        <v>564</v>
      </c>
      <c r="G94" s="30" t="n">
        <f aca="false">G93-G95</f>
        <v>514</v>
      </c>
    </row>
    <row r="95" customFormat="false" ht="13.5" hidden="false" customHeight="true" outlineLevel="0" collapsed="false">
      <c r="A95" s="11" t="s">
        <v>115</v>
      </c>
      <c r="B95" s="31"/>
      <c r="C95" s="31"/>
      <c r="D95" s="31"/>
      <c r="E95" s="30" t="n">
        <v>50</v>
      </c>
      <c r="F95" s="30" t="n">
        <v>50</v>
      </c>
      <c r="G95" s="30" t="n">
        <v>50</v>
      </c>
    </row>
    <row r="96" customFormat="false" ht="13.5" hidden="false" customHeight="true" outlineLevel="0" collapsed="false">
      <c r="A96" s="11" t="s">
        <v>116</v>
      </c>
      <c r="B96" s="31"/>
      <c r="C96" s="31"/>
      <c r="D96" s="31"/>
      <c r="E96" s="30" t="n">
        <v>0.1</v>
      </c>
      <c r="F96" s="30" t="n">
        <v>0.095</v>
      </c>
      <c r="G96" s="30" t="n">
        <v>0.09</v>
      </c>
    </row>
    <row r="97" customFormat="false" ht="13.5" hidden="false" customHeight="true" outlineLevel="0" collapsed="false">
      <c r="A97" s="11" t="s">
        <v>117</v>
      </c>
      <c r="B97" s="29" t="n">
        <f aca="false">'Annual P&amp;L'!B21</f>
        <v>-89</v>
      </c>
      <c r="C97" s="29" t="n">
        <f aca="false">'Annual P&amp;L'!C21</f>
        <v>-111</v>
      </c>
      <c r="D97" s="29" t="n">
        <f aca="false">'Annual P&amp;L'!D21</f>
        <v>-82</v>
      </c>
      <c r="E97" s="37" t="n">
        <f aca="false">E93*E96</f>
        <v>66.4</v>
      </c>
      <c r="F97" s="37" t="n">
        <f aca="false">F93*F96</f>
        <v>58.33</v>
      </c>
      <c r="G97" s="37" t="n">
        <f aca="false">G93*G96</f>
        <v>50.76</v>
      </c>
    </row>
    <row r="98" customFormat="false" ht="13.5" hidden="false" customHeight="true" outlineLevel="0" collapsed="false">
      <c r="A98" s="11"/>
      <c r="B98" s="31"/>
      <c r="C98" s="31"/>
      <c r="D98" s="31"/>
      <c r="E98" s="30"/>
      <c r="F98" s="30"/>
      <c r="G98" s="30"/>
    </row>
    <row r="99" customFormat="false" ht="13.5" hidden="false" customHeight="true" outlineLevel="0" collapsed="false">
      <c r="A99" s="11"/>
      <c r="B99" s="31"/>
      <c r="C99" s="31"/>
      <c r="D99" s="31"/>
      <c r="E99" s="30"/>
      <c r="F99" s="30"/>
      <c r="G99" s="30"/>
    </row>
    <row r="100" customFormat="false" ht="13.5" hidden="false" customHeight="true" outlineLevel="0" collapsed="false">
      <c r="A100" s="26" t="s">
        <v>118</v>
      </c>
      <c r="B100" s="27"/>
      <c r="C100" s="27"/>
      <c r="D100" s="27"/>
      <c r="E100" s="28"/>
      <c r="F100" s="28"/>
      <c r="G100" s="28"/>
    </row>
    <row r="101" customFormat="false" ht="13.5" hidden="false" customHeight="true" outlineLevel="0" collapsed="false">
      <c r="A101" s="34" t="s">
        <v>2</v>
      </c>
      <c r="B101" s="35" t="s">
        <v>3</v>
      </c>
      <c r="C101" s="35" t="s">
        <v>4</v>
      </c>
      <c r="D101" s="35" t="s">
        <v>5</v>
      </c>
      <c r="E101" s="35" t="s">
        <v>6</v>
      </c>
      <c r="F101" s="35" t="s">
        <v>7</v>
      </c>
      <c r="G101" s="35" t="s">
        <v>8</v>
      </c>
    </row>
    <row r="102" customFormat="false" ht="13.5" hidden="false" customHeight="true" outlineLevel="0" collapsed="false">
      <c r="A102" s="11" t="s">
        <v>119</v>
      </c>
      <c r="B102" s="31" t="n">
        <f aca="false">SUM(B18,B20:B21)</f>
        <v>1092</v>
      </c>
      <c r="C102" s="31" t="n">
        <f aca="false">SUM(C18,C20:C21)</f>
        <v>1041</v>
      </c>
      <c r="D102" s="31" t="n">
        <f aca="false">SUM(D18,D20:D21)</f>
        <v>2952</v>
      </c>
      <c r="E102" s="30" t="n">
        <f aca="false">D20+D18+D21</f>
        <v>2952</v>
      </c>
      <c r="F102" s="30" t="n">
        <f aca="false">E20+E18+E21</f>
        <v>3715.63587945205</v>
      </c>
      <c r="G102" s="30" t="n">
        <f aca="false">F20+F18+F21</f>
        <v>3607.62877763014</v>
      </c>
    </row>
    <row r="103" customFormat="false" ht="13.5" hidden="false" customHeight="true" outlineLevel="0" collapsed="false">
      <c r="A103" s="11" t="s">
        <v>120</v>
      </c>
      <c r="B103" s="40" t="n">
        <f aca="false">B104/B102</f>
        <v>-0.127289377289377</v>
      </c>
      <c r="C103" s="40" t="n">
        <f aca="false">C104/C102</f>
        <v>0.048030739673391</v>
      </c>
      <c r="D103" s="40" t="n">
        <f aca="false">D104/D102</f>
        <v>0.0494579945799458</v>
      </c>
      <c r="E103" s="41" t="n">
        <v>0.06</v>
      </c>
      <c r="F103" s="41" t="n">
        <v>0.06</v>
      </c>
      <c r="G103" s="41" t="n">
        <v>0.06</v>
      </c>
    </row>
    <row r="104" customFormat="false" ht="13.5" hidden="false" customHeight="true" outlineLevel="0" collapsed="false">
      <c r="A104" s="11" t="s">
        <v>12</v>
      </c>
      <c r="B104" s="29" t="n">
        <f aca="false">'Annual P&amp;L'!B5</f>
        <v>-139</v>
      </c>
      <c r="C104" s="29" t="n">
        <f aca="false">'Annual P&amp;L'!C5</f>
        <v>50</v>
      </c>
      <c r="D104" s="29" t="n">
        <f aca="false">'Annual P&amp;L'!D5</f>
        <v>146</v>
      </c>
      <c r="E104" s="30" t="n">
        <f aca="false">E102*E103</f>
        <v>177.12</v>
      </c>
      <c r="F104" s="30" t="n">
        <f aca="false">F102*F103</f>
        <v>222.938152767123</v>
      </c>
      <c r="G104" s="30" t="n">
        <f aca="false">G102*G103</f>
        <v>216.457726657808</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1" activeCellId="0" sqref="C11"/>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7" min="2" style="1" width="14"/>
  </cols>
  <sheetData>
    <row r="1" customFormat="false" ht="27.75" hidden="false" customHeight="true" outlineLevel="0" collapsed="false">
      <c r="A1" s="2" t="s">
        <v>121</v>
      </c>
      <c r="B1" s="2"/>
      <c r="C1" s="2"/>
      <c r="D1" s="2"/>
      <c r="E1" s="2"/>
      <c r="F1" s="2"/>
      <c r="G1" s="2"/>
    </row>
    <row r="2" customFormat="false" ht="21.75" hidden="false" customHeight="true" outlineLevel="0" collapsed="false">
      <c r="A2" s="3" t="s">
        <v>122</v>
      </c>
      <c r="B2" s="3"/>
      <c r="C2" s="3"/>
      <c r="D2" s="3"/>
      <c r="E2" s="3"/>
      <c r="F2" s="3"/>
      <c r="G2" s="3"/>
    </row>
    <row r="3" customFormat="false" ht="13.5" hidden="false" customHeight="true" outlineLevel="0" collapsed="false">
      <c r="A3" s="7" t="s">
        <v>2</v>
      </c>
      <c r="B3" s="7" t="s">
        <v>3</v>
      </c>
      <c r="C3" s="7" t="s">
        <v>4</v>
      </c>
      <c r="D3" s="7" t="s">
        <v>5</v>
      </c>
      <c r="E3" s="7" t="s">
        <v>6</v>
      </c>
      <c r="F3" s="7" t="s">
        <v>7</v>
      </c>
      <c r="G3" s="7" t="s">
        <v>8</v>
      </c>
    </row>
    <row r="4" customFormat="false" ht="13.5" hidden="false" customHeight="true" outlineLevel="0" collapsed="false">
      <c r="A4" s="11" t="s">
        <v>34</v>
      </c>
      <c r="B4" s="29" t="n">
        <f aca="false">'Annual P&amp;L'!B24</f>
        <v>-1059</v>
      </c>
      <c r="C4" s="29" t="n">
        <f aca="false">'Annual P&amp;L'!C24</f>
        <v>-813</v>
      </c>
      <c r="D4" s="29" t="n">
        <f aca="false">'Annual P&amp;L'!D24</f>
        <v>-517</v>
      </c>
      <c r="E4" s="30" t="n">
        <f aca="false">'Annual P&amp;L'!E24</f>
        <v>-100.336</v>
      </c>
      <c r="F4" s="30" t="n">
        <f aca="false">'Annual P&amp;L'!F24</f>
        <v>256.967980767125</v>
      </c>
      <c r="G4" s="30" t="n">
        <f aca="false">'Annual P&amp;L'!G24</f>
        <v>616.012771177808</v>
      </c>
    </row>
    <row r="5" customFormat="false" ht="13.5" hidden="false" customHeight="true" outlineLevel="0" collapsed="false">
      <c r="A5" s="11" t="s">
        <v>30</v>
      </c>
      <c r="B5" s="29" t="n">
        <f aca="false">-'Annual P&amp;L'!B19</f>
        <v>147</v>
      </c>
      <c r="C5" s="29" t="n">
        <f aca="false">-'Annual P&amp;L'!C19</f>
        <v>171</v>
      </c>
      <c r="D5" s="29" t="n">
        <f aca="false">-'Annual P&amp;L'!D19</f>
        <v>173</v>
      </c>
      <c r="E5" s="30" t="n">
        <f aca="false">-'Annual P&amp;L'!E19</f>
        <v>108.24</v>
      </c>
      <c r="F5" s="30" t="n">
        <f aca="false">-'Annual P&amp;L'!F19</f>
        <v>179.074412</v>
      </c>
      <c r="G5" s="30" t="n">
        <f aca="false">-'Annual P&amp;L'!G19</f>
        <v>233.69924028</v>
      </c>
    </row>
    <row r="6" customFormat="false" ht="13.5" hidden="false" customHeight="true" outlineLevel="0" collapsed="false">
      <c r="A6" s="26" t="s">
        <v>32</v>
      </c>
      <c r="B6" s="27" t="n">
        <f aca="false">-'Annual P&amp;L'!B21</f>
        <v>89</v>
      </c>
      <c r="C6" s="27" t="n">
        <f aca="false">-'Annual P&amp;L'!C21</f>
        <v>111</v>
      </c>
      <c r="D6" s="27" t="n">
        <f aca="false">-'Annual P&amp;L'!D21</f>
        <v>82</v>
      </c>
      <c r="E6" s="28" t="n">
        <f aca="false">-'Annual P&amp;L'!E21</f>
        <v>66.4</v>
      </c>
      <c r="F6" s="28" t="n">
        <f aca="false">-'Annual P&amp;L'!F21</f>
        <v>58.33</v>
      </c>
      <c r="G6" s="28" t="n">
        <f aca="false">-'Annual P&amp;L'!G21</f>
        <v>50.76</v>
      </c>
    </row>
    <row r="7" customFormat="false" ht="13.5" hidden="false" customHeight="true" outlineLevel="0" collapsed="false">
      <c r="A7" s="26" t="s">
        <v>123</v>
      </c>
      <c r="B7" s="27" t="n">
        <f aca="false">'Annual P&amp;L'!B5</f>
        <v>-139</v>
      </c>
      <c r="C7" s="27" t="n">
        <f aca="false">'Annual P&amp;L'!C5</f>
        <v>50</v>
      </c>
      <c r="D7" s="27" t="n">
        <f aca="false">'Annual P&amp;L'!D5</f>
        <v>146</v>
      </c>
      <c r="E7" s="28" t="n">
        <f aca="false">'Annual P&amp;L'!E5</f>
        <v>177.12</v>
      </c>
      <c r="F7" s="28" t="n">
        <f aca="false">'Annual P&amp;L'!F5</f>
        <v>222.938152767123</v>
      </c>
      <c r="G7" s="28" t="n">
        <f aca="false">'Annual P&amp;L'!G5</f>
        <v>216.457726657808</v>
      </c>
    </row>
    <row r="8" customFormat="false" ht="13.5" hidden="false" customHeight="true" outlineLevel="0" collapsed="false">
      <c r="A8" s="11" t="s">
        <v>124</v>
      </c>
      <c r="B8" s="29" t="n">
        <f aca="false">B4+B5+B6-B7</f>
        <v>-684</v>
      </c>
      <c r="C8" s="29" t="n">
        <f aca="false">C4+C5+C6-C7</f>
        <v>-581</v>
      </c>
      <c r="D8" s="29" t="n">
        <f aca="false">D4+D5+D6-D7</f>
        <v>-408</v>
      </c>
      <c r="E8" s="30" t="n">
        <f aca="false">E4+E5+E6-E7</f>
        <v>-102.816</v>
      </c>
      <c r="F8" s="30" t="n">
        <f aca="false">F4+F5+F6-F7</f>
        <v>271.434240000001</v>
      </c>
      <c r="G8" s="30" t="n">
        <f aca="false">G4+G5+G6-G7</f>
        <v>684.0142848</v>
      </c>
    </row>
    <row r="9" customFormat="false" ht="13.5" hidden="false" customHeight="true" outlineLevel="0" collapsed="false">
      <c r="A9" s="11"/>
      <c r="B9" s="31"/>
      <c r="C9" s="31"/>
      <c r="D9" s="31"/>
      <c r="E9" s="30"/>
      <c r="F9" s="30"/>
      <c r="G9" s="30"/>
    </row>
    <row r="10" customFormat="false" ht="13.5" hidden="false" customHeight="true" outlineLevel="0" collapsed="false">
      <c r="A10" s="26" t="s">
        <v>125</v>
      </c>
      <c r="B10" s="27"/>
      <c r="C10" s="27"/>
      <c r="D10" s="27"/>
      <c r="E10" s="28" t="n">
        <f aca="false">BS!D17-BS!E17</f>
        <v>-93.3065424657534</v>
      </c>
      <c r="F10" s="28" t="n">
        <f aca="false">BS!E17-BS!F17</f>
        <v>-94.1005834520548</v>
      </c>
      <c r="G10" s="28" t="n">
        <f aca="false">BS!F17-BS!G17</f>
        <v>-89.7963958356165</v>
      </c>
    </row>
    <row r="11" customFormat="false" ht="13.5" hidden="false" customHeight="true" outlineLevel="0" collapsed="false">
      <c r="A11" s="26" t="s">
        <v>126</v>
      </c>
      <c r="B11" s="27"/>
      <c r="C11" s="27"/>
      <c r="D11" s="27"/>
      <c r="E11" s="28" t="n">
        <f aca="false">BS!D19-BS!E19</f>
        <v>-4.08438356164383</v>
      </c>
      <c r="F11" s="28" t="n">
        <f aca="false">BS!E19-BS!F19</f>
        <v>-4.50700273972603</v>
      </c>
      <c r="G11" s="28" t="n">
        <f aca="false">BS!F19-BS!G19</f>
        <v>-4.83376043835617</v>
      </c>
    </row>
    <row r="12" customFormat="false" ht="13.5" hidden="false" customHeight="true" outlineLevel="0" collapsed="false">
      <c r="A12" s="26" t="s">
        <v>127</v>
      </c>
      <c r="B12" s="27"/>
      <c r="C12" s="27"/>
      <c r="D12" s="27"/>
      <c r="E12" s="28" t="n">
        <f aca="false">BS!D23-BS!E23</f>
        <v>-124.8272</v>
      </c>
      <c r="F12" s="28" t="n">
        <f aca="false">BS!E23-BS!F23</f>
        <v>-111.04128</v>
      </c>
      <c r="G12" s="28" t="n">
        <f aca="false">BS!F23-BS!G23</f>
        <v>-98.394912</v>
      </c>
    </row>
    <row r="13" customFormat="false" ht="13.5" hidden="false" customHeight="true" outlineLevel="0" collapsed="false">
      <c r="A13" s="26" t="s">
        <v>128</v>
      </c>
      <c r="B13" s="27"/>
      <c r="C13" s="27"/>
      <c r="D13" s="27"/>
      <c r="E13" s="28" t="n">
        <f aca="false">BS!E45-BS!D45</f>
        <v>313.679605479452</v>
      </c>
      <c r="F13" s="28" t="n">
        <f aca="false">BS!F45-BS!E45</f>
        <v>358.69544679452</v>
      </c>
      <c r="G13" s="28" t="n">
        <f aca="false">BS!G45-BS!F45</f>
        <v>372.199553753425</v>
      </c>
    </row>
    <row r="14" customFormat="false" ht="13.5" hidden="false" customHeight="true" outlineLevel="0" collapsed="false">
      <c r="A14" s="26" t="s">
        <v>129</v>
      </c>
      <c r="B14" s="27"/>
      <c r="C14" s="27"/>
      <c r="D14" s="27"/>
      <c r="E14" s="28" t="n">
        <f aca="false">BS!E47-BS!D47</f>
        <v>108.2784</v>
      </c>
      <c r="F14" s="28" t="n">
        <f aca="false">BS!F47-BS!E47</f>
        <v>99.7315200000001</v>
      </c>
      <c r="G14" s="28" t="n">
        <f aca="false">BS!G47-BS!F47</f>
        <v>80.7516864</v>
      </c>
    </row>
    <row r="15" customFormat="false" ht="13.5" hidden="false" customHeight="true" outlineLevel="0" collapsed="false">
      <c r="A15" s="11" t="s">
        <v>130</v>
      </c>
      <c r="B15" s="31" t="n">
        <f aca="false">B16-SUM(B8,B10:B14)</f>
        <v>416</v>
      </c>
      <c r="C15" s="31" t="n">
        <f aca="false">C16-SUM(C8,C10:C14)</f>
        <v>-140</v>
      </c>
      <c r="D15" s="31" t="n">
        <f aca="false">D16-SUM(D8,D10:D14)</f>
        <v>440</v>
      </c>
      <c r="E15" s="30" t="n">
        <v>0</v>
      </c>
      <c r="F15" s="30" t="n">
        <v>0</v>
      </c>
      <c r="G15" s="30" t="n">
        <v>0</v>
      </c>
    </row>
    <row r="16" customFormat="false" ht="13.5" hidden="false" customHeight="true" outlineLevel="0" collapsed="false">
      <c r="A16" s="11" t="s">
        <v>131</v>
      </c>
      <c r="B16" s="29" t="n">
        <v>-268</v>
      </c>
      <c r="C16" s="29" t="n">
        <v>-721</v>
      </c>
      <c r="D16" s="29" t="n">
        <v>32</v>
      </c>
      <c r="E16" s="30" t="n">
        <f aca="false">SUM(E8:E15)</f>
        <v>96.9238794520547</v>
      </c>
      <c r="F16" s="30" t="n">
        <f aca="false">SUM(F8:F15)</f>
        <v>520.212340602741</v>
      </c>
      <c r="G16" s="30" t="n">
        <f aca="false">SUM(G8:G15)</f>
        <v>943.940456679452</v>
      </c>
    </row>
    <row r="17" customFormat="false" ht="13.5" hidden="false" customHeight="true" outlineLevel="0" collapsed="false">
      <c r="A17" s="11" t="s">
        <v>132</v>
      </c>
      <c r="B17" s="29" t="n">
        <v>0</v>
      </c>
      <c r="C17" s="29" t="n">
        <v>0</v>
      </c>
      <c r="D17" s="29" t="n">
        <v>0</v>
      </c>
      <c r="E17" s="30" t="n">
        <f aca="false">-'Annual P&amp;L'!E25</f>
        <v>0</v>
      </c>
      <c r="F17" s="30" t="n">
        <f aca="false">-'Annual P&amp;L'!F25</f>
        <v>64.2419951917812</v>
      </c>
      <c r="G17" s="30" t="n">
        <f aca="false">-'Annual P&amp;L'!G25</f>
        <v>154.003192794452</v>
      </c>
    </row>
    <row r="18" customFormat="false" ht="13.5" hidden="false" customHeight="true" outlineLevel="0" collapsed="false">
      <c r="A18" s="11" t="s">
        <v>133</v>
      </c>
      <c r="B18" s="29" t="n">
        <f aca="false">B16-B17</f>
        <v>-268</v>
      </c>
      <c r="C18" s="29" t="n">
        <f aca="false">C16-C17</f>
        <v>-721</v>
      </c>
      <c r="D18" s="29" t="n">
        <f aca="false">D16-D17</f>
        <v>32</v>
      </c>
      <c r="E18" s="30" t="n">
        <f aca="false">E16-E17</f>
        <v>96.9238794520547</v>
      </c>
      <c r="F18" s="30" t="n">
        <f aca="false">F16-F17</f>
        <v>455.97034541096</v>
      </c>
      <c r="G18" s="30" t="n">
        <f aca="false">G16-G17</f>
        <v>789.937263885</v>
      </c>
    </row>
    <row r="19" customFormat="false" ht="13.5" hidden="false" customHeight="true" outlineLevel="0" collapsed="false">
      <c r="A19" s="11"/>
      <c r="B19" s="31"/>
      <c r="C19" s="31"/>
      <c r="D19" s="31"/>
      <c r="E19" s="30"/>
      <c r="F19" s="30"/>
      <c r="G19" s="30"/>
    </row>
    <row r="20" customFormat="false" ht="13.5" hidden="false" customHeight="true" outlineLevel="0" collapsed="false">
      <c r="A20" s="11"/>
      <c r="B20" s="31"/>
      <c r="C20" s="31"/>
      <c r="D20" s="31"/>
      <c r="E20" s="30"/>
      <c r="F20" s="30"/>
      <c r="G20" s="30"/>
    </row>
    <row r="21" customFormat="false" ht="13.5" hidden="false" customHeight="true" outlineLevel="0" collapsed="false">
      <c r="A21" s="11" t="s">
        <v>134</v>
      </c>
      <c r="B21" s="29" t="n">
        <v>-115</v>
      </c>
      <c r="C21" s="29" t="n">
        <v>-339</v>
      </c>
      <c r="D21" s="29" t="n">
        <v>-506</v>
      </c>
      <c r="E21" s="30" t="n">
        <f aca="false">-BS!E78</f>
        <v>-694.008</v>
      </c>
      <c r="F21" s="30" t="n">
        <f aca="false">-BS!F78</f>
        <v>-678.5856</v>
      </c>
      <c r="G21" s="30" t="n">
        <f aca="false">-BS!G78</f>
        <v>-598.5124992</v>
      </c>
    </row>
    <row r="22" customFormat="false" ht="13.5" hidden="false" customHeight="true" outlineLevel="0" collapsed="false">
      <c r="A22" s="26" t="s">
        <v>135</v>
      </c>
      <c r="B22" s="27" t="n">
        <f aca="false">'Annual P&amp;L'!B5</f>
        <v>-139</v>
      </c>
      <c r="C22" s="27" t="n">
        <f aca="false">'Annual P&amp;L'!C5</f>
        <v>50</v>
      </c>
      <c r="D22" s="27" t="n">
        <f aca="false">'Annual P&amp;L'!D5</f>
        <v>146</v>
      </c>
      <c r="E22" s="28" t="n">
        <f aca="false">'Annual P&amp;L'!E5</f>
        <v>177.12</v>
      </c>
      <c r="F22" s="28" t="n">
        <f aca="false">'Annual P&amp;L'!F5</f>
        <v>222.938152767123</v>
      </c>
      <c r="G22" s="28" t="n">
        <f aca="false">'Annual P&amp;L'!G5</f>
        <v>216.457726657808</v>
      </c>
    </row>
    <row r="23" customFormat="false" ht="13.5" hidden="false" customHeight="true" outlineLevel="0" collapsed="false">
      <c r="A23" s="11" t="s">
        <v>136</v>
      </c>
      <c r="B23" s="31" t="n">
        <f aca="false">B24-B21-B22</f>
        <v>312</v>
      </c>
      <c r="C23" s="31" t="n">
        <f aca="false">C24-C21-C22</f>
        <v>189</v>
      </c>
      <c r="D23" s="31" t="n">
        <f aca="false">D24-D21-D22</f>
        <v>-2126</v>
      </c>
      <c r="E23" s="30" t="n">
        <v>0</v>
      </c>
      <c r="F23" s="30" t="n">
        <v>0</v>
      </c>
      <c r="G23" s="30" t="n">
        <v>0</v>
      </c>
    </row>
    <row r="24" customFormat="false" ht="13.5" hidden="false" customHeight="true" outlineLevel="0" collapsed="false">
      <c r="A24" s="11" t="s">
        <v>137</v>
      </c>
      <c r="B24" s="29" t="n">
        <v>58</v>
      </c>
      <c r="C24" s="29" t="n">
        <v>-100</v>
      </c>
      <c r="D24" s="29" t="n">
        <v>-2486</v>
      </c>
      <c r="E24" s="30" t="n">
        <f aca="false">SUM(E21:E23)</f>
        <v>-516.888</v>
      </c>
      <c r="F24" s="30" t="n">
        <f aca="false">SUM(F21:F23)</f>
        <v>-455.647447232877</v>
      </c>
      <c r="G24" s="30" t="n">
        <f aca="false">SUM(G21:G23)</f>
        <v>-382.054772542192</v>
      </c>
    </row>
    <row r="25" customFormat="false" ht="13.5" hidden="false" customHeight="true" outlineLevel="0" collapsed="false">
      <c r="A25" s="11"/>
      <c r="B25" s="31"/>
      <c r="C25" s="31"/>
      <c r="D25" s="31"/>
      <c r="E25" s="30"/>
      <c r="F25" s="30"/>
      <c r="G25" s="30"/>
    </row>
    <row r="26" customFormat="false" ht="13.5" hidden="false" customHeight="true" outlineLevel="0" collapsed="false">
      <c r="A26" s="11"/>
      <c r="B26" s="31"/>
      <c r="C26" s="31"/>
      <c r="D26" s="31"/>
      <c r="E26" s="30"/>
      <c r="F26" s="30"/>
      <c r="G26" s="30"/>
    </row>
    <row r="27" customFormat="false" ht="13.5" hidden="false" customHeight="true" outlineLevel="0" collapsed="false">
      <c r="A27" s="26" t="s">
        <v>138</v>
      </c>
      <c r="B27" s="27" t="n">
        <f aca="false">BS!B43-0</f>
        <v>478</v>
      </c>
      <c r="C27" s="27" t="n">
        <f aca="false">BS!C43-BS!B43</f>
        <v>141</v>
      </c>
      <c r="D27" s="27" t="n">
        <f aca="false">BS!D43-BS!C43</f>
        <v>45</v>
      </c>
      <c r="E27" s="28" t="n">
        <f aca="false">BS!E43-BS!D43</f>
        <v>-50</v>
      </c>
      <c r="F27" s="28" t="n">
        <f aca="false">BS!F43-BS!E43</f>
        <v>-50</v>
      </c>
      <c r="G27" s="28" t="n">
        <f aca="false">BS!G43-BS!F43</f>
        <v>-50</v>
      </c>
    </row>
    <row r="28" customFormat="false" ht="13.5" hidden="false" customHeight="true" outlineLevel="0" collapsed="false">
      <c r="A28" s="26" t="s">
        <v>139</v>
      </c>
      <c r="B28" s="27" t="n">
        <v>0</v>
      </c>
      <c r="C28" s="27" t="n">
        <v>0</v>
      </c>
      <c r="D28" s="27" t="n">
        <v>0</v>
      </c>
      <c r="E28" s="28" t="n">
        <f aca="false">-'Annual P&amp;L'!E31</f>
        <v>0</v>
      </c>
      <c r="F28" s="28" t="n">
        <f aca="false">-'Annual P&amp;L'!F31</f>
        <v>-0</v>
      </c>
      <c r="G28" s="28" t="n">
        <f aca="false">-'Annual P&amp;L'!G31</f>
        <v>-0</v>
      </c>
    </row>
    <row r="29" customFormat="false" ht="13.5" hidden="false" customHeight="true" outlineLevel="0" collapsed="false">
      <c r="A29" s="26" t="s">
        <v>140</v>
      </c>
      <c r="B29" s="27" t="n">
        <f aca="false">'Annual P&amp;L'!B21</f>
        <v>-89</v>
      </c>
      <c r="C29" s="27" t="n">
        <f aca="false">'Annual P&amp;L'!C21</f>
        <v>-111</v>
      </c>
      <c r="D29" s="27" t="n">
        <f aca="false">'Annual P&amp;L'!D21</f>
        <v>-82</v>
      </c>
      <c r="E29" s="28" t="n">
        <f aca="false">'Annual P&amp;L'!E21</f>
        <v>-66.4</v>
      </c>
      <c r="F29" s="28" t="n">
        <f aca="false">'Annual P&amp;L'!F21</f>
        <v>-58.33</v>
      </c>
      <c r="G29" s="28" t="n">
        <f aca="false">'Annual P&amp;L'!G21</f>
        <v>-50.76</v>
      </c>
    </row>
    <row r="30" customFormat="false" ht="13.5" hidden="false" customHeight="true" outlineLevel="0" collapsed="false">
      <c r="A30" s="11" t="s">
        <v>141</v>
      </c>
      <c r="B30" s="31" t="n">
        <f aca="false">B31-B27-B28-B29</f>
        <v>244</v>
      </c>
      <c r="C30" s="31" t="n">
        <f aca="false">C31-C27-C28-C29</f>
        <v>673</v>
      </c>
      <c r="D30" s="31" t="n">
        <f aca="false">D31-D27-D28-D29</f>
        <v>2534</v>
      </c>
      <c r="E30" s="30" t="n">
        <v>1300</v>
      </c>
      <c r="F30" s="30" t="n">
        <v>0</v>
      </c>
      <c r="G30" s="30" t="n">
        <v>0</v>
      </c>
    </row>
    <row r="31" customFormat="false" ht="13.5" hidden="false" customHeight="true" outlineLevel="0" collapsed="false">
      <c r="A31" s="11" t="s">
        <v>142</v>
      </c>
      <c r="B31" s="29" t="n">
        <v>633</v>
      </c>
      <c r="C31" s="29" t="n">
        <v>703</v>
      </c>
      <c r="D31" s="29" t="n">
        <v>2497</v>
      </c>
      <c r="E31" s="30" t="n">
        <f aca="false">SUM(E27:E30)</f>
        <v>1183.6</v>
      </c>
      <c r="F31" s="30" t="n">
        <f aca="false">SUM(F27:F30)</f>
        <v>-108.33</v>
      </c>
      <c r="G31" s="30" t="n">
        <f aca="false">SUM(G27:G30)</f>
        <v>-100.76</v>
      </c>
    </row>
    <row r="32" customFormat="false" ht="13.5" hidden="false" customHeight="true" outlineLevel="0" collapsed="false">
      <c r="A32" s="11"/>
      <c r="B32" s="31"/>
      <c r="C32" s="31"/>
      <c r="D32" s="31"/>
      <c r="E32" s="30"/>
      <c r="F32" s="30"/>
      <c r="G32" s="30"/>
    </row>
    <row r="33" customFormat="false" ht="13.5" hidden="false" customHeight="true" outlineLevel="0" collapsed="false">
      <c r="A33" s="11" t="s">
        <v>143</v>
      </c>
      <c r="B33" s="29" t="n">
        <f aca="false">B18+B24+B31</f>
        <v>423</v>
      </c>
      <c r="C33" s="29" t="n">
        <f aca="false">C18+C24+C31</f>
        <v>-118</v>
      </c>
      <c r="D33" s="29" t="n">
        <f aca="false">D18+D24+D31</f>
        <v>43</v>
      </c>
      <c r="E33" s="30" t="n">
        <f aca="false">E31+E24+E18</f>
        <v>763.635879452055</v>
      </c>
      <c r="F33" s="30" t="n">
        <f aca="false">F31+F24+F18</f>
        <v>-108.007101821917</v>
      </c>
      <c r="G33" s="30" t="n">
        <f aca="false">G31+G24+G18</f>
        <v>307.122491342808</v>
      </c>
    </row>
    <row r="34" customFormat="false" ht="13.5" hidden="false" customHeight="true" outlineLevel="0" collapsed="false">
      <c r="A34" s="11" t="s">
        <v>144</v>
      </c>
      <c r="B34" s="29" t="n">
        <f aca="false">B35-B33</f>
        <v>-273</v>
      </c>
      <c r="C34" s="29" t="n">
        <f aca="false">B35</f>
        <v>150</v>
      </c>
      <c r="D34" s="29" t="n">
        <f aca="false">C35</f>
        <v>32</v>
      </c>
      <c r="E34" s="30" t="n">
        <f aca="false">D35</f>
        <v>75</v>
      </c>
      <c r="F34" s="30" t="n">
        <f aca="false">E35</f>
        <v>838.635879452055</v>
      </c>
      <c r="G34" s="30" t="n">
        <f aca="false">F35</f>
        <v>730.628777630138</v>
      </c>
    </row>
    <row r="35" customFormat="false" ht="13.5" hidden="false" customHeight="true" outlineLevel="0" collapsed="false">
      <c r="A35" s="11" t="s">
        <v>145</v>
      </c>
      <c r="B35" s="29" t="n">
        <f aca="false">BS!B20</f>
        <v>150</v>
      </c>
      <c r="C35" s="29" t="n">
        <f aca="false">C34+C33</f>
        <v>32</v>
      </c>
      <c r="D35" s="29" t="n">
        <f aca="false">D34+D33</f>
        <v>75</v>
      </c>
      <c r="E35" s="30" t="n">
        <f aca="false">E34+E33</f>
        <v>838.635879452055</v>
      </c>
      <c r="F35" s="30" t="n">
        <f aca="false">F34+F33</f>
        <v>730.628777630138</v>
      </c>
      <c r="G35" s="30" t="n">
        <f aca="false">G34+G33</f>
        <v>1037.75126897295</v>
      </c>
    </row>
    <row r="36" customFormat="false" ht="13.5" hidden="false" customHeight="true" outlineLevel="0" collapsed="false">
      <c r="A36" s="11" t="s">
        <v>146</v>
      </c>
      <c r="B36" s="42" t="n">
        <f aca="false">B35-BS!B20</f>
        <v>0</v>
      </c>
      <c r="C36" s="42" t="n">
        <f aca="false">C35-BS!C20</f>
        <v>0</v>
      </c>
      <c r="D36" s="42" t="n">
        <f aca="false">D35-BS!D20</f>
        <v>0</v>
      </c>
      <c r="E36" s="33" t="n">
        <f aca="false">E35-BS!E20</f>
        <v>0</v>
      </c>
      <c r="F36" s="33" t="n">
        <f aca="false">F35-BS!F20</f>
        <v>0</v>
      </c>
      <c r="G36" s="33" t="n">
        <f aca="false">G35-BS!G20</f>
        <v>0</v>
      </c>
    </row>
    <row r="37" customFormat="false" ht="13.5" hidden="false" customHeight="true" outlineLevel="0" collapsed="false">
      <c r="A37" s="11"/>
      <c r="B37" s="31"/>
      <c r="C37" s="31"/>
      <c r="D37" s="31"/>
      <c r="E37" s="30"/>
      <c r="F37" s="30"/>
      <c r="G37" s="30"/>
    </row>
    <row r="38" customFormat="false" ht="13.5" hidden="false" customHeight="true" outlineLevel="0" collapsed="false">
      <c r="A38" s="11"/>
      <c r="B38" s="31"/>
      <c r="C38" s="31"/>
      <c r="D38" s="31"/>
      <c r="E38" s="30"/>
      <c r="F38" s="30"/>
      <c r="G38" s="30"/>
    </row>
    <row r="39" customFormat="false" ht="13.5" hidden="false" customHeight="true" outlineLevel="0" collapsed="false">
      <c r="A39" s="11" t="s">
        <v>147</v>
      </c>
      <c r="B39" s="31" t="n">
        <f aca="false">B18+B21</f>
        <v>-383</v>
      </c>
      <c r="C39" s="31" t="n">
        <f aca="false">C18+C21</f>
        <v>-1060</v>
      </c>
      <c r="D39" s="31" t="n">
        <f aca="false">D18+D21</f>
        <v>-474</v>
      </c>
      <c r="E39" s="30" t="n">
        <f aca="false">E18+E21</f>
        <v>-597.084120547945</v>
      </c>
      <c r="F39" s="30" t="n">
        <f aca="false">F18+F21</f>
        <v>-222.61525458904</v>
      </c>
      <c r="G39" s="30" t="n">
        <f aca="false">G18+G21</f>
        <v>191.424764685</v>
      </c>
    </row>
    <row r="40" customFormat="false" ht="13.5" hidden="false" customHeight="true" outlineLevel="0" collapsed="false">
      <c r="A40" s="11" t="s">
        <v>148</v>
      </c>
      <c r="B40" s="29" t="n">
        <f aca="false">B39/'Annual P&amp;L'!B16</f>
        <v>0.559941520467836</v>
      </c>
      <c r="C40" s="29" t="n">
        <f aca="false">C39/'Annual P&amp;L'!C16</f>
        <v>1.82444061962134</v>
      </c>
      <c r="D40" s="29" t="n">
        <f aca="false">D39/'Annual P&amp;L'!D16</f>
        <v>1.16176470588235</v>
      </c>
      <c r="E40" s="30" t="n">
        <f aca="false">E39/'Annual P&amp;L'!E16</f>
        <v>5.80730742829858</v>
      </c>
      <c r="F40" s="30" t="n">
        <f aca="false">F39/'Annual P&amp;L'!F16</f>
        <v>-0.820144336208428</v>
      </c>
      <c r="G40" s="30" t="n">
        <f aca="false">G39/'Annual P&amp;L'!G16</f>
        <v>0.279854922534215</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25.38"/>
    <col collapsed="false" customWidth="true" hidden="false" outlineLevel="0" max="7" min="4" style="1" width="14"/>
  </cols>
  <sheetData>
    <row r="1" customFormat="false" ht="27.75" hidden="false" customHeight="true" outlineLevel="0" collapsed="false">
      <c r="A1" s="2" t="s">
        <v>149</v>
      </c>
      <c r="B1" s="2"/>
      <c r="C1" s="2"/>
      <c r="D1" s="2"/>
      <c r="E1" s="2"/>
      <c r="F1" s="2"/>
      <c r="G1" s="2"/>
    </row>
    <row r="2" customFormat="false" ht="13.5" hidden="false" customHeight="true" outlineLevel="0" collapsed="false">
      <c r="A2" s="11" t="s">
        <v>150</v>
      </c>
      <c r="B2" s="11"/>
      <c r="C2" s="11"/>
      <c r="D2" s="11"/>
      <c r="E2" s="11"/>
      <c r="F2" s="11"/>
      <c r="G2" s="11"/>
    </row>
    <row r="3" customFormat="false" ht="23.25" hidden="false" customHeight="true" outlineLevel="0" collapsed="false">
      <c r="A3" s="43" t="s">
        <v>151</v>
      </c>
      <c r="B3" s="43" t="s">
        <v>152</v>
      </c>
      <c r="C3" s="43" t="s">
        <v>153</v>
      </c>
      <c r="D3" s="43" t="s">
        <v>154</v>
      </c>
      <c r="E3" s="43" t="s">
        <v>155</v>
      </c>
      <c r="F3" s="43" t="s">
        <v>156</v>
      </c>
      <c r="G3" s="43" t="s">
        <v>157</v>
      </c>
    </row>
    <row r="4" customFormat="false" ht="30" hidden="false" customHeight="true" outlineLevel="0" collapsed="false">
      <c r="A4" s="43" t="s">
        <v>11</v>
      </c>
      <c r="B4" s="43" t="s">
        <v>158</v>
      </c>
      <c r="C4" s="43" t="s">
        <v>159</v>
      </c>
      <c r="D4" s="43" t="s">
        <v>160</v>
      </c>
      <c r="E4" s="43" t="s">
        <v>161</v>
      </c>
      <c r="F4" s="43" t="s">
        <v>162</v>
      </c>
      <c r="G4" s="43" t="s">
        <v>163</v>
      </c>
    </row>
    <row r="5" customFormat="false" ht="30" hidden="false" customHeight="true" outlineLevel="0" collapsed="false">
      <c r="A5" s="43" t="s">
        <v>29</v>
      </c>
      <c r="B5" s="43" t="s">
        <v>164</v>
      </c>
      <c r="C5" s="43" t="s">
        <v>165</v>
      </c>
      <c r="D5" s="43" t="s">
        <v>166</v>
      </c>
      <c r="E5" s="43" t="s">
        <v>167</v>
      </c>
      <c r="F5" s="43" t="s">
        <v>168</v>
      </c>
      <c r="G5" s="43" t="s">
        <v>169</v>
      </c>
    </row>
    <row r="6" customFormat="false" ht="30" hidden="false" customHeight="true" outlineLevel="0" collapsed="false">
      <c r="A6" s="43" t="s">
        <v>170</v>
      </c>
      <c r="B6" s="43" t="s">
        <v>158</v>
      </c>
      <c r="C6" s="43" t="s">
        <v>171</v>
      </c>
      <c r="D6" s="43" t="s">
        <v>172</v>
      </c>
      <c r="E6" s="43" t="s">
        <v>173</v>
      </c>
      <c r="F6" s="43" t="s">
        <v>174</v>
      </c>
      <c r="G6" s="43" t="s">
        <v>175</v>
      </c>
    </row>
    <row r="7" customFormat="false" ht="30" hidden="false" customHeight="true" outlineLevel="0" collapsed="false">
      <c r="A7" s="43" t="s">
        <v>176</v>
      </c>
      <c r="B7" s="43" t="s">
        <v>158</v>
      </c>
      <c r="C7" s="43" t="s">
        <v>177</v>
      </c>
      <c r="D7" s="43" t="s">
        <v>178</v>
      </c>
      <c r="E7" s="43" t="s">
        <v>179</v>
      </c>
      <c r="F7" s="43" t="s">
        <v>180</v>
      </c>
      <c r="G7" s="43" t="s">
        <v>181</v>
      </c>
    </row>
    <row r="8" customFormat="false" ht="30" hidden="false" customHeight="true" outlineLevel="0" collapsed="false">
      <c r="A8" s="43" t="s">
        <v>182</v>
      </c>
      <c r="B8" s="43" t="s">
        <v>183</v>
      </c>
      <c r="C8" s="43" t="s">
        <v>184</v>
      </c>
      <c r="D8" s="43" t="s">
        <v>185</v>
      </c>
      <c r="E8" s="43" t="s">
        <v>186</v>
      </c>
      <c r="F8" s="43" t="s">
        <v>187</v>
      </c>
      <c r="G8" s="43" t="s">
        <v>188</v>
      </c>
    </row>
    <row r="9" customFormat="false" ht="30" hidden="false" customHeight="true" outlineLevel="0" collapsed="false">
      <c r="A9" s="43" t="s">
        <v>189</v>
      </c>
      <c r="B9" s="43" t="s">
        <v>158</v>
      </c>
      <c r="C9" s="43" t="s">
        <v>190</v>
      </c>
      <c r="D9" s="43" t="s">
        <v>191</v>
      </c>
      <c r="E9" s="43" t="s">
        <v>192</v>
      </c>
      <c r="F9" s="43" t="s">
        <v>193</v>
      </c>
      <c r="G9" s="43" t="s">
        <v>194</v>
      </c>
    </row>
    <row r="10" customFormat="false" ht="30" hidden="false" customHeight="true" outlineLevel="0" collapsed="false">
      <c r="A10" s="43" t="s">
        <v>12</v>
      </c>
      <c r="B10" s="43" t="s">
        <v>158</v>
      </c>
      <c r="C10" s="43" t="s">
        <v>195</v>
      </c>
      <c r="D10" s="43" t="s">
        <v>196</v>
      </c>
      <c r="E10" s="43" t="s">
        <v>197</v>
      </c>
      <c r="F10" s="43" t="s">
        <v>198</v>
      </c>
      <c r="G10" s="43" t="s">
        <v>199</v>
      </c>
    </row>
    <row r="11" customFormat="false" ht="30" hidden="false" customHeight="true" outlineLevel="0" collapsed="false">
      <c r="A11" s="43" t="s">
        <v>25</v>
      </c>
      <c r="B11" s="43" t="s">
        <v>158</v>
      </c>
      <c r="C11" s="43" t="s">
        <v>200</v>
      </c>
      <c r="D11" s="43" t="s">
        <v>201</v>
      </c>
      <c r="E11" s="43" t="s">
        <v>202</v>
      </c>
      <c r="F11" s="43" t="s">
        <v>202</v>
      </c>
      <c r="G11" s="43" t="s">
        <v>203</v>
      </c>
    </row>
    <row r="12" customFormat="false" ht="30" hidden="false" customHeight="true" outlineLevel="0" collapsed="false">
      <c r="A12" s="11" t="s">
        <v>204</v>
      </c>
      <c r="B12" s="11" t="s">
        <v>205</v>
      </c>
      <c r="C12" s="11" t="s">
        <v>206</v>
      </c>
      <c r="D12" s="11" t="s">
        <v>207</v>
      </c>
      <c r="E12" s="11" t="s">
        <v>208</v>
      </c>
      <c r="F12" s="11" t="s">
        <v>209</v>
      </c>
      <c r="G12" s="11" t="s">
        <v>210</v>
      </c>
    </row>
    <row r="13" customFormat="false" ht="30" hidden="false" customHeight="true" outlineLevel="0" collapsed="false">
      <c r="A13" s="11" t="s">
        <v>211</v>
      </c>
      <c r="B13" s="11" t="s">
        <v>158</v>
      </c>
      <c r="C13" s="11" t="s">
        <v>212</v>
      </c>
      <c r="D13" s="11" t="s">
        <v>213</v>
      </c>
      <c r="E13" s="11" t="s">
        <v>214</v>
      </c>
      <c r="F13" s="11" t="s">
        <v>214</v>
      </c>
      <c r="G13" s="11" t="s">
        <v>215</v>
      </c>
    </row>
    <row r="14" customFormat="false" ht="30" hidden="false" customHeight="true" outlineLevel="0" collapsed="false">
      <c r="A14" s="11" t="s">
        <v>216</v>
      </c>
      <c r="B14" s="11" t="s">
        <v>217</v>
      </c>
      <c r="C14" s="11" t="s">
        <v>218</v>
      </c>
      <c r="D14" s="11" t="s">
        <v>219</v>
      </c>
      <c r="E14" s="11" t="s">
        <v>220</v>
      </c>
      <c r="F14" s="11" t="s">
        <v>221</v>
      </c>
      <c r="G14" s="11" t="s">
        <v>222</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7" min="2" style="1" width="14"/>
  </cols>
  <sheetData>
    <row r="1" customFormat="false" ht="27.75" hidden="false" customHeight="true" outlineLevel="0" collapsed="false">
      <c r="A1" s="2" t="s">
        <v>223</v>
      </c>
      <c r="B1" s="2"/>
      <c r="C1" s="2"/>
      <c r="D1" s="2"/>
      <c r="E1" s="2"/>
      <c r="F1" s="2"/>
      <c r="G1" s="2"/>
    </row>
    <row r="2" customFormat="false" ht="21.75" hidden="false" customHeight="true" outlineLevel="0" collapsed="false">
      <c r="A2" s="3" t="s">
        <v>224</v>
      </c>
      <c r="B2" s="3"/>
      <c r="C2" s="3"/>
      <c r="D2" s="3"/>
      <c r="E2" s="3"/>
      <c r="F2" s="3"/>
      <c r="G2" s="3"/>
    </row>
    <row r="3" customFormat="false" ht="13.5" hidden="false" customHeight="true" outlineLevel="0" collapsed="false">
      <c r="A3" s="7" t="s">
        <v>225</v>
      </c>
      <c r="B3" s="7" t="s">
        <v>3</v>
      </c>
      <c r="C3" s="7" t="s">
        <v>4</v>
      </c>
      <c r="D3" s="7" t="s">
        <v>5</v>
      </c>
      <c r="E3" s="7" t="s">
        <v>6</v>
      </c>
      <c r="F3" s="7" t="s">
        <v>7</v>
      </c>
      <c r="G3" s="7" t="s">
        <v>8</v>
      </c>
    </row>
    <row r="4" customFormat="false" ht="13.5" hidden="false" customHeight="true" outlineLevel="0" collapsed="false">
      <c r="A4" s="11"/>
      <c r="B4" s="11"/>
      <c r="C4" s="11"/>
      <c r="D4" s="11"/>
      <c r="E4" s="11"/>
      <c r="F4" s="11"/>
      <c r="G4" s="11"/>
    </row>
    <row r="5" customFormat="false" ht="13.5" hidden="false" customHeight="true" outlineLevel="0" collapsed="false">
      <c r="A5" s="11" t="s">
        <v>43</v>
      </c>
      <c r="B5" s="42" t="n">
        <f aca="false">'Annual P&amp;L'!B34</f>
        <v>0</v>
      </c>
      <c r="C5" s="42" t="n">
        <f aca="false">'Annual P&amp;L'!C34</f>
        <v>0</v>
      </c>
      <c r="D5" s="42" t="n">
        <f aca="false">'Annual P&amp;L'!D34</f>
        <v>0</v>
      </c>
      <c r="E5" s="42" t="str">
        <f aca="false">IF('Annual P&amp;L'!E34="","Not built",'Annual P&amp;L'!E34)</f>
        <v>Not built</v>
      </c>
      <c r="F5" s="42" t="str">
        <f aca="false">IF('Annual P&amp;L'!F34="","Not built",'Annual P&amp;L'!F34)</f>
        <v>Not built</v>
      </c>
      <c r="G5" s="42" t="str">
        <f aca="false">IF('Annual P&amp;L'!G34="","Not built",'Annual P&amp;L'!G34)</f>
        <v>Not built</v>
      </c>
    </row>
    <row r="6" customFormat="false" ht="13.5" hidden="false" customHeight="true" outlineLevel="0" collapsed="false">
      <c r="A6" s="11" t="s">
        <v>89</v>
      </c>
      <c r="B6" s="42" t="n">
        <f aca="false">BS!B55</f>
        <v>0</v>
      </c>
      <c r="C6" s="42" t="n">
        <f aca="false">BS!C55</f>
        <v>-5</v>
      </c>
      <c r="D6" s="42" t="n">
        <f aca="false">BS!D55</f>
        <v>0</v>
      </c>
      <c r="E6" s="42" t="n">
        <f aca="false">IF(BS!E55="","Not built",BS!E55)</f>
        <v>0</v>
      </c>
      <c r="F6" s="42" t="n">
        <f aca="false">IF(BS!F55="","Not built",BS!F55)</f>
        <v>0</v>
      </c>
      <c r="G6" s="42" t="n">
        <f aca="false">IF(BS!G55="","Not built",BS!G55)</f>
        <v>0</v>
      </c>
    </row>
    <row r="7" customFormat="false" ht="13.5" hidden="false" customHeight="true" outlineLevel="0" collapsed="false">
      <c r="A7" s="11" t="s">
        <v>146</v>
      </c>
      <c r="B7" s="42" t="n">
        <f aca="false">CFS!B36</f>
        <v>0</v>
      </c>
      <c r="C7" s="42" t="n">
        <f aca="false">CFS!C36</f>
        <v>0</v>
      </c>
      <c r="D7" s="42" t="n">
        <f aca="false">CFS!D36</f>
        <v>0</v>
      </c>
      <c r="E7" s="42" t="n">
        <f aca="false">IF(CFS!E36="","Not built",CFS!E36)</f>
        <v>0</v>
      </c>
      <c r="F7" s="42" t="n">
        <f aca="false">IF(CFS!F36="","Not built",CFS!F36)</f>
        <v>0</v>
      </c>
      <c r="G7" s="42" t="n">
        <f aca="false">IF(CFS!G36="","Not built",CFS!G36)</f>
        <v>0</v>
      </c>
    </row>
    <row r="8" customFormat="false" ht="13.5" hidden="false" customHeight="true" outlineLevel="0" collapsed="false">
      <c r="A8" s="11"/>
      <c r="B8" s="11"/>
      <c r="C8" s="11"/>
      <c r="D8" s="11"/>
      <c r="E8" s="11"/>
      <c r="F8" s="11"/>
      <c r="G8" s="11"/>
    </row>
    <row r="9" customFormat="false" ht="13.5" hidden="false" customHeight="true" outlineLevel="0" collapsed="false">
      <c r="A9" s="11"/>
      <c r="B9" s="11"/>
      <c r="C9" s="11"/>
      <c r="D9" s="11"/>
      <c r="E9" s="11"/>
      <c r="F9" s="11"/>
      <c r="G9" s="11"/>
    </row>
    <row r="10" customFormat="false" ht="30" hidden="false" customHeight="true" outlineLevel="0" collapsed="false">
      <c r="A10" s="44" t="s">
        <v>226</v>
      </c>
      <c r="B10" s="44"/>
      <c r="C10" s="44"/>
      <c r="D10" s="44"/>
      <c r="E10" s="44"/>
      <c r="F10" s="44"/>
      <c r="G10" s="44"/>
    </row>
  </sheetData>
  <mergeCells count="3">
    <mergeCell ref="A1:G1"/>
    <mergeCell ref="A2:G2"/>
    <mergeCell ref="A10:G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20" activeCellId="0" sqref="A20"/>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7" min="2" style="1" width="14"/>
  </cols>
  <sheetData>
    <row r="1" customFormat="false" ht="27.75" hidden="false" customHeight="true" outlineLevel="0" collapsed="false">
      <c r="A1" s="2" t="s">
        <v>227</v>
      </c>
      <c r="B1" s="2"/>
      <c r="C1" s="2"/>
      <c r="D1" s="2"/>
      <c r="E1" s="2"/>
      <c r="F1" s="2"/>
      <c r="G1" s="2"/>
    </row>
    <row r="2" customFormat="false" ht="21.75" hidden="false" customHeight="true" outlineLevel="0" collapsed="false">
      <c r="A2" s="3" t="s">
        <v>228</v>
      </c>
      <c r="B2" s="3"/>
      <c r="C2" s="3"/>
      <c r="D2" s="3"/>
      <c r="E2" s="3"/>
      <c r="F2" s="3"/>
      <c r="G2" s="3"/>
    </row>
    <row r="3" customFormat="false" ht="13.5" hidden="false" customHeight="true" outlineLevel="0" collapsed="false">
      <c r="A3" s="11" t="s">
        <v>229</v>
      </c>
      <c r="B3" s="11"/>
      <c r="C3" s="11"/>
      <c r="D3" s="11"/>
      <c r="E3" s="11"/>
      <c r="F3" s="11"/>
      <c r="G3" s="11"/>
    </row>
    <row r="4" customFormat="false" ht="13.5" hidden="false" customHeight="true" outlineLevel="0" collapsed="false">
      <c r="A4" s="34" t="s">
        <v>230</v>
      </c>
      <c r="B4" s="34" t="s">
        <v>3</v>
      </c>
      <c r="C4" s="34" t="s">
        <v>4</v>
      </c>
      <c r="D4" s="34" t="s">
        <v>5</v>
      </c>
      <c r="E4" s="34" t="s">
        <v>6</v>
      </c>
      <c r="F4" s="34" t="s">
        <v>7</v>
      </c>
      <c r="G4" s="34" t="s">
        <v>8</v>
      </c>
    </row>
    <row r="5" customFormat="false" ht="13.5" hidden="false" customHeight="true" outlineLevel="0" collapsed="false">
      <c r="A5" s="11" t="s">
        <v>231</v>
      </c>
      <c r="B5" s="29" t="n">
        <f aca="false">'Annual P&amp;L'!B4</f>
        <v>1754</v>
      </c>
      <c r="C5" s="29" t="n">
        <f aca="false">'Annual P&amp;L'!C4</f>
        <v>2255</v>
      </c>
      <c r="D5" s="29" t="n">
        <f aca="false">'Annual P&amp;L'!D4</f>
        <v>3672</v>
      </c>
      <c r="E5" s="31" t="n">
        <f aca="false">'Annual P&amp;L'!E4</f>
        <v>5140.8</v>
      </c>
      <c r="F5" s="31" t="n">
        <f aca="false">'Annual P&amp;L'!F4</f>
        <v>6785.856</v>
      </c>
      <c r="G5" s="31" t="n">
        <f aca="false">'Annual P&amp;L'!G4</f>
        <v>8550.17856</v>
      </c>
    </row>
    <row r="6" customFormat="false" ht="13.5" hidden="false" customHeight="true" outlineLevel="0" collapsed="false">
      <c r="A6" s="11" t="s">
        <v>11</v>
      </c>
      <c r="B6" s="45" t="n">
        <f aca="false">'Annual P&amp;L'!B8</f>
        <v>0</v>
      </c>
      <c r="C6" s="45" t="n">
        <f aca="false">'Annual P&amp;L'!C8</f>
        <v>0.427244582043344</v>
      </c>
      <c r="D6" s="45" t="n">
        <f aca="false">'Annual P&amp;L'!D8</f>
        <v>0.656399132321041</v>
      </c>
      <c r="E6" s="46" t="n">
        <f aca="false">'Annual P&amp;L'!E8</f>
        <v>0.4</v>
      </c>
      <c r="F6" s="46" t="n">
        <f aca="false">'Annual P&amp;L'!F8</f>
        <v>0.32</v>
      </c>
      <c r="G6" s="46" t="n">
        <f aca="false">'Annual P&amp;L'!G8</f>
        <v>0.26</v>
      </c>
    </row>
    <row r="7" customFormat="false" ht="13.5" hidden="false" customHeight="true" outlineLevel="0" collapsed="false">
      <c r="A7" s="11" t="s">
        <v>232</v>
      </c>
      <c r="B7" s="29" t="n">
        <f aca="false">'Annual P&amp;L'!B16</f>
        <v>-684</v>
      </c>
      <c r="C7" s="29" t="n">
        <f aca="false">'Annual P&amp;L'!C16</f>
        <v>-581</v>
      </c>
      <c r="D7" s="29" t="n">
        <f aca="false">'Annual P&amp;L'!D16</f>
        <v>-408</v>
      </c>
      <c r="E7" s="31" t="n">
        <f aca="false">'Annual P&amp;L'!E16</f>
        <v>-102.816</v>
      </c>
      <c r="F7" s="31" t="n">
        <f aca="false">'Annual P&amp;L'!F16</f>
        <v>271.434240000001</v>
      </c>
      <c r="G7" s="31" t="n">
        <f aca="false">'Annual P&amp;L'!G16</f>
        <v>684.0142848</v>
      </c>
    </row>
    <row r="8" customFormat="false" ht="13.5" hidden="false" customHeight="true" outlineLevel="0" collapsed="false">
      <c r="A8" s="11" t="s">
        <v>29</v>
      </c>
      <c r="B8" s="45" t="n">
        <f aca="false">'Annual P&amp;L'!B17</f>
        <v>-0.389965792474344</v>
      </c>
      <c r="C8" s="45" t="n">
        <f aca="false">'Annual P&amp;L'!C17</f>
        <v>-0.257649667405765</v>
      </c>
      <c r="D8" s="45" t="n">
        <f aca="false">'Annual P&amp;L'!D17</f>
        <v>-0.111111111111111</v>
      </c>
      <c r="E8" s="46" t="n">
        <f aca="false">'Annual P&amp;L'!E17</f>
        <v>-0.02</v>
      </c>
      <c r="F8" s="46" t="n">
        <f aca="false">'Annual P&amp;L'!F17</f>
        <v>0.0400000000000002</v>
      </c>
      <c r="G8" s="46" t="n">
        <f aca="false">'Annual P&amp;L'!G17</f>
        <v>0.08</v>
      </c>
    </row>
    <row r="9" customFormat="false" ht="13.5" hidden="false" customHeight="true" outlineLevel="0" collapsed="false">
      <c r="A9" s="11" t="s">
        <v>233</v>
      </c>
      <c r="B9" s="29" t="n">
        <f aca="false">'Annual P&amp;L'!B26</f>
        <v>-1059</v>
      </c>
      <c r="C9" s="29" t="n">
        <f aca="false">'Annual P&amp;L'!C26</f>
        <v>-813</v>
      </c>
      <c r="D9" s="29" t="n">
        <f aca="false">'Annual P&amp;L'!D26</f>
        <v>-517</v>
      </c>
      <c r="E9" s="31" t="n">
        <f aca="false">'Annual P&amp;L'!E26</f>
        <v>-100.336</v>
      </c>
      <c r="F9" s="31" t="n">
        <f aca="false">'Annual P&amp;L'!F26</f>
        <v>192.725985575344</v>
      </c>
      <c r="G9" s="31" t="n">
        <f aca="false">'Annual P&amp;L'!G26</f>
        <v>462.009578383356</v>
      </c>
    </row>
    <row r="10" customFormat="false" ht="13.5" hidden="false" customHeight="true" outlineLevel="0" collapsed="false">
      <c r="A10" s="11" t="s">
        <v>234</v>
      </c>
      <c r="B10" s="46"/>
      <c r="C10" s="45" t="n">
        <f aca="false">'Annual P&amp;L'!C26/'Annual P&amp;L'!B26-1</f>
        <v>-0.232294617563739</v>
      </c>
      <c r="D10" s="45" t="n">
        <f aca="false">'Annual P&amp;L'!D26/'Annual P&amp;L'!C26-1</f>
        <v>-0.364083640836408</v>
      </c>
      <c r="E10" s="46" t="n">
        <f aca="false">'Annual P&amp;L'!E26/'Annual P&amp;L'!D26-1</f>
        <v>-0.805926499032882</v>
      </c>
      <c r="F10" s="46" t="n">
        <f aca="false">'Annual P&amp;L'!F26/'Annual P&amp;L'!E26-1</f>
        <v>-2.92080594776894</v>
      </c>
      <c r="G10" s="46" t="n">
        <f aca="false">'Annual P&amp;L'!G26/'Annual P&amp;L'!F26-1</f>
        <v>1.39723552070118</v>
      </c>
    </row>
    <row r="11" customFormat="false" ht="13.5" hidden="false" customHeight="true" outlineLevel="0" collapsed="false">
      <c r="A11" s="11" t="s">
        <v>37</v>
      </c>
      <c r="B11" s="29" t="str">
        <f aca="false">'Annual P&amp;L'!B27</f>
        <v>NM</v>
      </c>
      <c r="C11" s="29" t="str">
        <f aca="false">'Annual P&amp;L'!C27</f>
        <v>NM</v>
      </c>
      <c r="D11" s="29" t="n">
        <f aca="false">'Annual P&amp;L'!D27</f>
        <v>-13.8605898123324</v>
      </c>
      <c r="E11" s="31" t="n">
        <f aca="false">'Annual P&amp;L'!E27</f>
        <v>-2.56613810741688</v>
      </c>
      <c r="F11" s="31" t="n">
        <f aca="false">'Annual P&amp;L'!F27</f>
        <v>4.92905333952285</v>
      </c>
      <c r="G11" s="31" t="n">
        <f aca="false">'Annual P&amp;L'!G27</f>
        <v>11.8161017489349</v>
      </c>
    </row>
    <row r="12" customFormat="false" ht="13.5" hidden="false" customHeight="true" outlineLevel="0" collapsed="false">
      <c r="A12" s="11" t="s">
        <v>235</v>
      </c>
      <c r="B12" s="29" t="n">
        <f aca="false">CFS!B18</f>
        <v>-268</v>
      </c>
      <c r="C12" s="29" t="n">
        <f aca="false">CFS!C18</f>
        <v>-721</v>
      </c>
      <c r="D12" s="29" t="n">
        <f aca="false">CFS!D18</f>
        <v>32</v>
      </c>
      <c r="E12" s="31" t="n">
        <f aca="false">CFS!E18</f>
        <v>96.9238794520547</v>
      </c>
      <c r="F12" s="31" t="n">
        <f aca="false">CFS!F18</f>
        <v>455.97034541096</v>
      </c>
      <c r="G12" s="31" t="n">
        <f aca="false">CFS!G18</f>
        <v>789.937263885</v>
      </c>
    </row>
    <row r="13" customFormat="false" ht="13.5" hidden="false" customHeight="true" outlineLevel="0" collapsed="false">
      <c r="A13" s="11" t="s">
        <v>236</v>
      </c>
      <c r="B13" s="29" t="n">
        <f aca="false">CFS!B39</f>
        <v>-383</v>
      </c>
      <c r="C13" s="29" t="n">
        <f aca="false">CFS!C39</f>
        <v>-1060</v>
      </c>
      <c r="D13" s="29" t="n">
        <f aca="false">CFS!D39</f>
        <v>-474</v>
      </c>
      <c r="E13" s="31" t="n">
        <f aca="false">CFS!E39</f>
        <v>-597.084120547945</v>
      </c>
      <c r="F13" s="31" t="n">
        <f aca="false">CFS!F39</f>
        <v>-222.61525458904</v>
      </c>
      <c r="G13" s="31" t="n">
        <f aca="false">CFS!G39</f>
        <v>191.424764685</v>
      </c>
    </row>
    <row r="14" customFormat="false" ht="13.5" hidden="false" customHeight="true" outlineLevel="0" collapsed="false">
      <c r="A14" s="11" t="s">
        <v>237</v>
      </c>
      <c r="B14" s="29" t="n">
        <f aca="false">BS!B20</f>
        <v>150</v>
      </c>
      <c r="C14" s="29" t="n">
        <f aca="false">BS!C20</f>
        <v>32</v>
      </c>
      <c r="D14" s="29" t="n">
        <f aca="false">BS!D20</f>
        <v>75</v>
      </c>
      <c r="E14" s="31" t="n">
        <f aca="false">BS!E20</f>
        <v>838.635879452055</v>
      </c>
      <c r="F14" s="31" t="n">
        <f aca="false">BS!F20</f>
        <v>730.628777630138</v>
      </c>
      <c r="G14" s="31" t="n">
        <f aca="false">BS!G20</f>
        <v>1037.75126897295</v>
      </c>
    </row>
    <row r="15" customFormat="false" ht="13.5" hidden="false" customHeight="true" outlineLevel="0" collapsed="false">
      <c r="A15" s="11" t="s">
        <v>238</v>
      </c>
      <c r="B15" s="29" t="n">
        <f aca="false">BS!B43-BS!B20-BS!B18-BS!B21</f>
        <v>-614</v>
      </c>
      <c r="C15" s="29" t="n">
        <f aca="false">BS!C43-BS!C20-BS!C18-BS!C21</f>
        <v>-422</v>
      </c>
      <c r="D15" s="29" t="n">
        <f aca="false">BS!D43-BS!D20-BS!D18-BS!D21</f>
        <v>-2288</v>
      </c>
      <c r="E15" s="31" t="n">
        <f aca="false">BS!E43-BS!E20-BS!E18-BS!E21</f>
        <v>-3101.63587945205</v>
      </c>
      <c r="F15" s="31" t="n">
        <f aca="false">BS!F43-BS!F20-BS!F18-BS!F21</f>
        <v>-3043.62877763014</v>
      </c>
      <c r="G15" s="31" t="n">
        <f aca="false">BS!G43-BS!G20-BS!G18-BS!G21</f>
        <v>-3400.75126897295</v>
      </c>
    </row>
    <row r="16" customFormat="false" ht="13.5" hidden="false" customHeight="true" outlineLevel="0" collapsed="false">
      <c r="A16" s="11" t="s">
        <v>97</v>
      </c>
      <c r="B16" s="29" t="n">
        <f aca="false">BS!B71</f>
        <v>-81.9897377423033</v>
      </c>
      <c r="C16" s="29" t="n">
        <f aca="false">BS!C71</f>
        <v>-72.3525498891353</v>
      </c>
      <c r="D16" s="29" t="n">
        <f aca="false">BS!D71</f>
        <v>-54.9686819172113</v>
      </c>
      <c r="E16" s="31" t="n">
        <f aca="false">BS!E71</f>
        <v>-53.445</v>
      </c>
      <c r="F16" s="31" t="n">
        <f aca="false">BS!F71</f>
        <v>-53.87</v>
      </c>
      <c r="G16" s="31" t="n">
        <f aca="false">BS!G71</f>
        <v>-53.85</v>
      </c>
    </row>
    <row r="17" customFormat="false" ht="13.5" hidden="false" customHeight="true" outlineLevel="0" collapsed="false">
      <c r="A17" s="11" t="s">
        <v>239</v>
      </c>
      <c r="B17" s="45" t="n">
        <f aca="false">'Annual P&amp;L'!B26/BS!B33</f>
        <v>-1.94311926605505</v>
      </c>
      <c r="C17" s="45" t="n">
        <f aca="false">'Annual P&amp;L'!C26/AVERAGE(BS!B33,BS!C33)</f>
        <v>-1.56647398843931</v>
      </c>
      <c r="D17" s="45" t="n">
        <f aca="false">'Annual P&amp;L'!D26/AVERAGE(BS!C33,BS!D33)</f>
        <v>-0.337357259380098</v>
      </c>
      <c r="E17" s="46" t="n">
        <f aca="false">'Annual P&amp;L'!E26/AVERAGE(BS!D33,BS!E33)</f>
        <v>-0.0316334534742066</v>
      </c>
      <c r="F17" s="46" t="n">
        <f aca="false">'Annual P&amp;L'!F26/AVERAGE(BS!E33,BS!F33)</f>
        <v>0.049825398306346</v>
      </c>
      <c r="G17" s="46" t="n">
        <f aca="false">'Annual P&amp;L'!G26/AVERAGE(BS!F33,BS!G33)</f>
        <v>0.110123028507851</v>
      </c>
    </row>
    <row r="18" customFormat="false" ht="13.5" hidden="false" customHeight="true" outlineLevel="0" collapsed="false">
      <c r="A18" s="11" t="s">
        <v>240</v>
      </c>
      <c r="B18" s="45" t="n">
        <f aca="false">'Annual P&amp;L'!B20/(BS!B33+BS!B43-BS!B20-BS!B18-BS!B21)</f>
        <v>14.0579710144928</v>
      </c>
      <c r="C18" s="45" t="n">
        <f aca="false">'Annual P&amp;L'!C20/(BS!C33+BS!C43-BS!C20-BS!C18-BS!C21)</f>
        <v>-9.88732394366197</v>
      </c>
      <c r="D18" s="45" t="n">
        <f aca="false">'Annual P&amp;L'!D20/(BS!D33+BS!D43-BS!D20-BS!D18-BS!D21)</f>
        <v>-1.53169014084507</v>
      </c>
      <c r="E18" s="46" t="n">
        <f aca="false">'Annual P&amp;L'!E20/(BS!E33+BS!E43-BS!E20-BS!E18-BS!E21)</f>
        <v>-0.0506486204970727</v>
      </c>
      <c r="F18" s="46" t="n">
        <f aca="false">'Annual P&amp;L'!F20/(BS!F33+BS!F43-BS!F20-BS!F18-BS!F21)</f>
        <v>0.342431868378503</v>
      </c>
      <c r="G18" s="46" t="n">
        <f aca="false">'Annual P&amp;L'!G20/(BS!G33+BS!G43-BS!G20-BS!G18-BS!G21)</f>
        <v>0.650098844250572</v>
      </c>
    </row>
    <row r="19" customFormat="false" ht="13.5" hidden="false" customHeight="true" outlineLevel="0" collapsed="false">
      <c r="A19" s="11" t="s">
        <v>241</v>
      </c>
      <c r="B19" s="45" t="n">
        <f aca="false">CFS!B18/'Annual P&amp;L'!B16</f>
        <v>0.391812865497076</v>
      </c>
      <c r="C19" s="45" t="n">
        <f aca="false">CFS!C18/'Annual P&amp;L'!C16</f>
        <v>1.24096385542169</v>
      </c>
      <c r="D19" s="45" t="n">
        <f aca="false">CFS!D18/'Annual P&amp;L'!D16</f>
        <v>-0.0784313725490196</v>
      </c>
      <c r="E19" s="46" t="n">
        <f aca="false">CFS!E18/'Annual P&amp;L'!E16</f>
        <v>-0.942692571701437</v>
      </c>
      <c r="F19" s="46" t="n">
        <f aca="false">CFS!F18/'Annual P&amp;L'!F16</f>
        <v>1.67985566379156</v>
      </c>
      <c r="G19" s="46" t="n">
        <f aca="false">CFS!G18/'Annual P&amp;L'!G16</f>
        <v>1.15485492253422</v>
      </c>
    </row>
    <row r="20" customFormat="false" ht="13.5" hidden="false" customHeight="true" outlineLevel="0" collapsed="false">
      <c r="A20" s="11" t="s">
        <v>148</v>
      </c>
      <c r="B20" s="45" t="n">
        <f aca="false">CFS!B39/'Annual P&amp;L'!B16</f>
        <v>0.559941520467836</v>
      </c>
      <c r="C20" s="45" t="n">
        <f aca="false">CFS!C39/'Annual P&amp;L'!C16</f>
        <v>1.82444061962134</v>
      </c>
      <c r="D20" s="45" t="n">
        <f aca="false">CFS!D39/'Annual P&amp;L'!D16</f>
        <v>1.16176470588235</v>
      </c>
      <c r="E20" s="46" t="n">
        <f aca="false">CFS!E39/'Annual P&amp;L'!E16</f>
        <v>5.80730742829858</v>
      </c>
      <c r="F20" s="46" t="n">
        <f aca="false">CFS!F39/'Annual P&amp;L'!F16</f>
        <v>-0.820144336208428</v>
      </c>
      <c r="G20" s="46" t="n">
        <f aca="false">CFS!G39/'Annual P&amp;L'!G16</f>
        <v>0.279854922534215</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1" width="34"/>
    <col collapsed="false" customWidth="true" hidden="false" outlineLevel="0" max="10" min="2" style="1" width="14"/>
  </cols>
  <sheetData>
    <row r="1" customFormat="false" ht="27.75" hidden="false" customHeight="true" outlineLevel="0" collapsed="false">
      <c r="A1" s="2" t="s">
        <v>242</v>
      </c>
      <c r="B1" s="2"/>
      <c r="C1" s="2"/>
      <c r="D1" s="2"/>
      <c r="E1" s="2"/>
      <c r="F1" s="2"/>
      <c r="G1" s="2"/>
      <c r="H1" s="2"/>
      <c r="I1" s="2"/>
      <c r="J1" s="2"/>
    </row>
    <row r="2" customFormat="false" ht="21.75" hidden="false" customHeight="true" outlineLevel="0" collapsed="false">
      <c r="A2" s="3" t="s">
        <v>243</v>
      </c>
      <c r="B2" s="3"/>
      <c r="C2" s="3"/>
      <c r="D2" s="3"/>
      <c r="E2" s="3"/>
      <c r="F2" s="3"/>
      <c r="G2" s="3"/>
      <c r="H2" s="3"/>
      <c r="I2" s="3"/>
      <c r="J2" s="3"/>
    </row>
    <row r="3" customFormat="false" ht="13.5" hidden="false" customHeight="true" outlineLevel="0" collapsed="false">
      <c r="A3" s="47" t="s">
        <v>244</v>
      </c>
      <c r="B3" s="48"/>
      <c r="C3" s="48"/>
      <c r="D3" s="48"/>
      <c r="E3" s="48"/>
      <c r="F3" s="48"/>
      <c r="G3" s="48"/>
      <c r="H3" s="48"/>
      <c r="I3" s="48"/>
      <c r="J3" s="49"/>
    </row>
    <row r="4" customFormat="false" ht="13.5" hidden="false" customHeight="true" outlineLevel="0" collapsed="false">
      <c r="A4" s="50" t="s">
        <v>245</v>
      </c>
      <c r="B4" s="51" t="n">
        <v>1686.1</v>
      </c>
      <c r="C4" s="51" t="s">
        <v>246</v>
      </c>
      <c r="D4" s="51"/>
      <c r="E4" s="51"/>
      <c r="F4" s="51"/>
      <c r="G4" s="51"/>
      <c r="H4" s="51"/>
      <c r="I4" s="51"/>
      <c r="J4" s="52"/>
    </row>
    <row r="5" customFormat="false" ht="13.5" hidden="false" customHeight="true" outlineLevel="0" collapsed="false">
      <c r="A5" s="50" t="s">
        <v>247</v>
      </c>
      <c r="B5" s="51" t="s">
        <v>8</v>
      </c>
      <c r="C5" s="51"/>
      <c r="D5" s="51"/>
      <c r="E5" s="51"/>
      <c r="F5" s="51"/>
      <c r="G5" s="51"/>
      <c r="H5" s="51"/>
      <c r="I5" s="51"/>
      <c r="J5" s="52"/>
    </row>
    <row r="6" customFormat="false" ht="13.5" hidden="false" customHeight="true" outlineLevel="0" collapsed="false">
      <c r="A6" s="50"/>
      <c r="B6" s="51"/>
      <c r="C6" s="51"/>
      <c r="D6" s="51"/>
      <c r="E6" s="51"/>
      <c r="F6" s="51"/>
      <c r="G6" s="51"/>
      <c r="H6" s="51"/>
      <c r="I6" s="51"/>
      <c r="J6" s="52"/>
    </row>
    <row r="7" customFormat="false" ht="13.5" hidden="false" customHeight="true" outlineLevel="0" collapsed="false">
      <c r="A7" s="50"/>
      <c r="B7" s="51"/>
      <c r="C7" s="51"/>
      <c r="D7" s="51"/>
      <c r="E7" s="51"/>
      <c r="F7" s="51"/>
      <c r="G7" s="51"/>
      <c r="H7" s="51"/>
      <c r="I7" s="51"/>
      <c r="J7" s="52"/>
    </row>
    <row r="8" customFormat="false" ht="13.5" hidden="false" customHeight="true" outlineLevel="0" collapsed="false">
      <c r="A8" s="50"/>
      <c r="B8" s="51"/>
      <c r="C8" s="51"/>
      <c r="D8" s="51"/>
      <c r="E8" s="51"/>
      <c r="F8" s="51"/>
      <c r="G8" s="51"/>
      <c r="H8" s="51"/>
      <c r="I8" s="51"/>
      <c r="J8" s="52"/>
    </row>
    <row r="9" customFormat="false" ht="13.5" hidden="false" customHeight="true" outlineLevel="0" collapsed="false">
      <c r="A9" s="50" t="s">
        <v>248</v>
      </c>
      <c r="B9" s="51"/>
      <c r="C9" s="51"/>
      <c r="D9" s="51"/>
      <c r="E9" s="51"/>
      <c r="F9" s="51"/>
      <c r="G9" s="51"/>
      <c r="H9" s="51"/>
      <c r="I9" s="51"/>
      <c r="J9" s="52"/>
    </row>
    <row r="10" customFormat="false" ht="13.5" hidden="false" customHeight="true" outlineLevel="0" collapsed="false">
      <c r="A10" s="50" t="s">
        <v>249</v>
      </c>
      <c r="B10" s="51" t="s">
        <v>250</v>
      </c>
      <c r="C10" s="51" t="s">
        <v>251</v>
      </c>
      <c r="D10" s="51" t="s">
        <v>252</v>
      </c>
      <c r="E10" s="51" t="s">
        <v>253</v>
      </c>
      <c r="F10" s="51" t="s">
        <v>254</v>
      </c>
      <c r="G10" s="51" t="s">
        <v>255</v>
      </c>
      <c r="H10" s="51" t="s">
        <v>256</v>
      </c>
      <c r="I10" s="51"/>
      <c r="J10" s="52"/>
    </row>
    <row r="11" customFormat="false" ht="13.5" hidden="false" customHeight="true" outlineLevel="0" collapsed="false">
      <c r="A11" s="50" t="s">
        <v>257</v>
      </c>
      <c r="B11" s="51" t="n">
        <v>0.25</v>
      </c>
      <c r="C11" s="51" t="n">
        <v>0.15</v>
      </c>
      <c r="D11" s="51" t="n">
        <v>0.14</v>
      </c>
      <c r="E11" s="51" t="n">
        <f aca="false">(('Annual P&amp;L'!$D$4*(1+C11)^3)*D11-'Annual P&amp;L'!$D$4*(1+C11)^3*0.045-BS!$D$43*0.09+BS!$D$18*0.06)*(1-0.25*((('Annual P&amp;L'!$D$4*(1+C11)^3)*D11-'Annual P&amp;L'!$D$4*(1+C11)^3*0.045-BS!$D$43*0.09+BS!$D$18*0.06)&gt;0))/'Annual P&amp;L'!$E$29</f>
        <v>9.66564005754476</v>
      </c>
      <c r="F11" s="51" t="n">
        <v>22</v>
      </c>
      <c r="G11" s="51" t="n">
        <f aca="false">IF(E11&lt;=0,"NM",E11*F11)</f>
        <v>212.644081265985</v>
      </c>
      <c r="H11" s="51" t="n">
        <f aca="false">IF(G11="NM","NM",G11/$B$4-1)</f>
        <v>-0.873884063065071</v>
      </c>
      <c r="I11" s="51"/>
      <c r="J11" s="52"/>
    </row>
    <row r="12" customFormat="false" ht="13.5" hidden="false" customHeight="true" outlineLevel="0" collapsed="false">
      <c r="A12" s="50" t="s">
        <v>258</v>
      </c>
      <c r="B12" s="51" t="n">
        <v>0.5</v>
      </c>
      <c r="C12" s="51" t="n">
        <v>0.26</v>
      </c>
      <c r="D12" s="51" t="n">
        <v>0.19</v>
      </c>
      <c r="E12" s="51" t="n">
        <f aca="false">(('Annual P&amp;L'!$D$4*(1+C12)^3)*D12-'Annual P&amp;L'!$D$4*(1+C12)^3*0.045-BS!$D$43*0.09+BS!$D$18*0.06)*(1-0.25*((('Annual P&amp;L'!$D$4*(1+C12)^3)*D12-'Annual P&amp;L'!$D$4*(1+C12)^3*0.045-BS!$D$43*0.09+BS!$D$18*0.06)&gt;0))/'Annual P&amp;L'!$E$29</f>
        <v>19.9189296184143</v>
      </c>
      <c r="F12" s="51" t="n">
        <v>30</v>
      </c>
      <c r="G12" s="51" t="n">
        <f aca="false">IF(E12&lt;=0,"NM",E12*F12)</f>
        <v>597.56788855243</v>
      </c>
      <c r="H12" s="51" t="n">
        <f aca="false">IF(G12="NM","NM",G12/$B$4-1)</f>
        <v>-0.645591668019436</v>
      </c>
      <c r="I12" s="51"/>
      <c r="J12" s="52"/>
    </row>
    <row r="13" customFormat="false" ht="13.5" hidden="false" customHeight="true" outlineLevel="0" collapsed="false">
      <c r="A13" s="50" t="s">
        <v>259</v>
      </c>
      <c r="B13" s="51" t="n">
        <v>0.25</v>
      </c>
      <c r="C13" s="51" t="n">
        <v>0.34</v>
      </c>
      <c r="D13" s="51" t="n">
        <v>0.24</v>
      </c>
      <c r="E13" s="51" t="n">
        <f aca="false">(('Annual P&amp;L'!$D$4*(1+C13)^3)*D13-'Annual P&amp;L'!$D$4*(1+C13)^3*0.045-BS!$D$43*0.09+BS!$D$18*0.06)*(1-0.25*((('Annual P&amp;L'!$D$4*(1+C13)^3)*D13-'Annual P&amp;L'!$D$4*(1+C13)^3*0.045-BS!$D$43*0.09+BS!$D$18*0.06)&gt;0))/'Annual P&amp;L'!$E$29</f>
        <v>32.5363179314578</v>
      </c>
      <c r="F13" s="51" t="n">
        <v>38</v>
      </c>
      <c r="G13" s="51" t="n">
        <f aca="false">IF(E13&lt;=0,"NM",E13*F13)</f>
        <v>1236.3800813954</v>
      </c>
      <c r="H13" s="51" t="n">
        <f aca="false">IF(G13="NM","NM",G13/$B$4-1)</f>
        <v>-0.266721972958071</v>
      </c>
      <c r="I13" s="51"/>
      <c r="J13" s="52"/>
    </row>
    <row r="14" customFormat="false" ht="13.5" hidden="false" customHeight="true" outlineLevel="0" collapsed="false">
      <c r="A14" s="50"/>
      <c r="B14" s="51"/>
      <c r="C14" s="51"/>
      <c r="D14" s="51"/>
      <c r="E14" s="51"/>
      <c r="F14" s="51"/>
      <c r="G14" s="51"/>
      <c r="H14" s="51"/>
      <c r="I14" s="51"/>
      <c r="J14" s="52"/>
    </row>
    <row r="15" customFormat="false" ht="13.5" hidden="false" customHeight="true" outlineLevel="0" collapsed="false">
      <c r="A15" s="50"/>
      <c r="B15" s="51"/>
      <c r="C15" s="51"/>
      <c r="D15" s="51"/>
      <c r="E15" s="51"/>
      <c r="F15" s="51"/>
      <c r="G15" s="51"/>
      <c r="H15" s="51"/>
      <c r="I15" s="51"/>
      <c r="J15" s="52"/>
    </row>
    <row r="16" customFormat="false" ht="13.5" hidden="false" customHeight="true" outlineLevel="0" collapsed="false">
      <c r="A16" s="50"/>
      <c r="B16" s="51"/>
      <c r="C16" s="51"/>
      <c r="D16" s="51"/>
      <c r="E16" s="51"/>
      <c r="F16" s="51"/>
      <c r="G16" s="51"/>
      <c r="H16" s="51"/>
      <c r="I16" s="51"/>
      <c r="J16" s="52"/>
    </row>
    <row r="17" customFormat="false" ht="13.5" hidden="false" customHeight="true" outlineLevel="0" collapsed="false">
      <c r="A17" s="50" t="s">
        <v>260</v>
      </c>
      <c r="B17" s="51" t="n">
        <f aca="false">SUM(B11:B13)</f>
        <v>1</v>
      </c>
      <c r="C17" s="51"/>
      <c r="D17" s="51"/>
      <c r="E17" s="51"/>
      <c r="F17" s="51"/>
      <c r="G17" s="51"/>
      <c r="H17" s="51"/>
      <c r="I17" s="51"/>
      <c r="J17" s="52"/>
    </row>
    <row r="18" customFormat="false" ht="13.5" hidden="false" customHeight="true" outlineLevel="0" collapsed="false">
      <c r="A18" s="50" t="s">
        <v>261</v>
      </c>
      <c r="B18" s="51" t="n">
        <f aca="false">B11*IF(G11="NM",B31,G11)+B12*G12+B13*G13</f>
        <v>661.03998494156</v>
      </c>
      <c r="C18" s="51"/>
      <c r="D18" s="51"/>
      <c r="E18" s="51"/>
      <c r="F18" s="51"/>
      <c r="G18" s="51"/>
      <c r="H18" s="51"/>
      <c r="I18" s="51"/>
      <c r="J18" s="52"/>
    </row>
    <row r="19" customFormat="false" ht="13.5" hidden="false" customHeight="true" outlineLevel="0" collapsed="false">
      <c r="A19" s="50" t="s">
        <v>262</v>
      </c>
      <c r="B19" s="51" t="n">
        <f aca="false">B18/$B$4-1</f>
        <v>-0.607947343015503</v>
      </c>
      <c r="C19" s="51"/>
      <c r="D19" s="51"/>
      <c r="E19" s="51"/>
      <c r="F19" s="51"/>
      <c r="G19" s="51"/>
      <c r="H19" s="51"/>
      <c r="I19" s="51"/>
      <c r="J19" s="52"/>
    </row>
    <row r="20" customFormat="false" ht="13.5" hidden="false" customHeight="true" outlineLevel="0" collapsed="false">
      <c r="A20" s="50"/>
      <c r="B20" s="51"/>
      <c r="C20" s="51"/>
      <c r="D20" s="51"/>
      <c r="E20" s="51"/>
      <c r="F20" s="51"/>
      <c r="G20" s="51"/>
      <c r="H20" s="51"/>
      <c r="I20" s="51"/>
      <c r="J20" s="52"/>
    </row>
    <row r="21" customFormat="false" ht="13.5" hidden="false" customHeight="true" outlineLevel="0" collapsed="false">
      <c r="A21" s="50"/>
      <c r="B21" s="51"/>
      <c r="C21" s="51"/>
      <c r="D21" s="51"/>
      <c r="E21" s="51"/>
      <c r="F21" s="51"/>
      <c r="G21" s="51"/>
      <c r="H21" s="51"/>
      <c r="I21" s="51"/>
      <c r="J21" s="52"/>
    </row>
    <row r="22" customFormat="false" ht="13.5" hidden="false" customHeight="true" outlineLevel="0" collapsed="false">
      <c r="A22" s="50"/>
      <c r="B22" s="51"/>
      <c r="C22" s="51"/>
      <c r="D22" s="51"/>
      <c r="E22" s="51"/>
      <c r="F22" s="51"/>
      <c r="G22" s="51"/>
      <c r="H22" s="51"/>
      <c r="I22" s="51"/>
      <c r="J22" s="52"/>
    </row>
    <row r="23" customFormat="false" ht="13.5" hidden="false" customHeight="true" outlineLevel="0" collapsed="false">
      <c r="A23" s="53" t="s">
        <v>263</v>
      </c>
      <c r="B23" s="54" t="s">
        <v>263</v>
      </c>
      <c r="C23" s="54" t="s">
        <v>263</v>
      </c>
      <c r="D23" s="54" t="s">
        <v>263</v>
      </c>
      <c r="E23" s="54" t="s">
        <v>263</v>
      </c>
      <c r="F23" s="54" t="s">
        <v>263</v>
      </c>
      <c r="G23" s="54" t="s">
        <v>263</v>
      </c>
      <c r="H23" s="54" t="s">
        <v>263</v>
      </c>
      <c r="I23" s="54" t="s">
        <v>263</v>
      </c>
      <c r="J23" s="55" t="s">
        <v>263</v>
      </c>
    </row>
    <row r="25" customFormat="false" ht="13.5" hidden="false" customHeight="true" outlineLevel="0" collapsed="false">
      <c r="A25" s="1" t="s">
        <v>264</v>
      </c>
    </row>
    <row r="26" customFormat="false" ht="13.5" hidden="false" customHeight="true" outlineLevel="0" collapsed="false">
      <c r="A26" s="1" t="s">
        <v>265</v>
      </c>
      <c r="B26" s="1" t="n">
        <f aca="false">'Annual P&amp;L'!$D$4*(1+C11)^3</f>
        <v>5584.653</v>
      </c>
    </row>
    <row r="27" customFormat="false" ht="13.5" hidden="false" customHeight="true" outlineLevel="0" collapsed="false">
      <c r="A27" s="1" t="s">
        <v>266</v>
      </c>
      <c r="B27" s="1" t="n">
        <v>3.5</v>
      </c>
    </row>
    <row r="28" customFormat="false" ht="13.5" hidden="false" customHeight="true" outlineLevel="0" collapsed="false">
      <c r="A28" s="1" t="s">
        <v>267</v>
      </c>
      <c r="B28" s="1" t="n">
        <f aca="false">B26*B27</f>
        <v>19546.2855</v>
      </c>
    </row>
    <row r="29" customFormat="false" ht="13.5" hidden="false" customHeight="true" outlineLevel="0" collapsed="false">
      <c r="A29" s="1" t="s">
        <v>268</v>
      </c>
      <c r="B29" s="1" t="n">
        <f aca="false">BS!G43-BS!G20-BS!G18-BS!G21</f>
        <v>-3400.75126897295</v>
      </c>
    </row>
    <row r="30" customFormat="false" ht="13.5" hidden="false" customHeight="true" outlineLevel="0" collapsed="false">
      <c r="A30" s="1" t="s">
        <v>269</v>
      </c>
      <c r="B30" s="1" t="n">
        <f aca="false">B28-B29</f>
        <v>22947.0367689729</v>
      </c>
    </row>
    <row r="31" customFormat="false" ht="13.5" hidden="false" customHeight="true" outlineLevel="0" collapsed="false">
      <c r="A31" s="1" t="s">
        <v>270</v>
      </c>
      <c r="B31" s="1" t="n">
        <f aca="false">B30/'Annual P&amp;L'!$E$29</f>
        <v>586.880735779359</v>
      </c>
    </row>
    <row r="32" customFormat="false" ht="13.5" hidden="false" customHeight="true" outlineLevel="0" collapsed="false">
      <c r="A32" s="1" t="s">
        <v>271</v>
      </c>
      <c r="B32" s="1" t="n">
        <f aca="false">B31/$B$4-1</f>
        <v>-0.65193005410156</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2026-09-12T21:33:43Z</dcterms:created>
  <dc:creator>Mehul</dc:creator>
  <dc:description/>
  <dc:language>en-US</dc:language>
  <cp:lastModifiedBy/>
  <dcterms:modified xsi:type="dcterms:W3CDTF">2026-09-23T08:42:03Z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